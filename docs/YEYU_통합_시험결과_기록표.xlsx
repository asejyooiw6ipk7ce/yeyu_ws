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odelab\Downloads\"/>
    </mc:Choice>
  </mc:AlternateContent>
  <xr:revisionPtr revIDLastSave="0" documentId="8_{0B0082E9-5BAE-4688-8B23-2DA3732E72B1}" xr6:coauthVersionLast="47" xr6:coauthVersionMax="47" xr10:uidLastSave="{00000000-0000-0000-0000-000000000000}"/>
  <bookViews>
    <workbookView xWindow="1905" yWindow="1905" windowWidth="18945" windowHeight="18975" tabRatio="500" activeTab="2" xr2:uid="{00000000-000D-0000-FFFF-FFFF00000000}"/>
  </bookViews>
  <sheets>
    <sheet name="사용법" sheetId="1" r:id="rId1"/>
    <sheet name="요약" sheetId="2" r:id="rId2"/>
    <sheet name="기록" sheetId="3" r:id="rId3"/>
    <sheet name="시험항목 상세" sheetId="4" r:id="rId4"/>
  </sheets>
  <definedNames>
    <definedName name="_xlnm._FilterDatabase" localSheetId="2" hidden="1">기록!$A$1:$K$111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B32" i="2"/>
  <c r="B31" i="2"/>
  <c r="B30" i="2"/>
  <c r="B29" i="2"/>
  <c r="B28" i="2"/>
  <c r="B27" i="2"/>
  <c r="B26" i="2"/>
  <c r="B25" i="2"/>
  <c r="B24" i="2"/>
  <c r="B23" i="2"/>
  <c r="D19" i="2"/>
  <c r="F18" i="2"/>
  <c r="E18" i="2"/>
  <c r="H18" i="2" s="1"/>
  <c r="F17" i="2"/>
  <c r="E17" i="2"/>
  <c r="H17" i="2" s="1"/>
  <c r="F16" i="2"/>
  <c r="E16" i="2"/>
  <c r="G16" i="2" s="1"/>
  <c r="F15" i="2"/>
  <c r="E15" i="2"/>
  <c r="H15" i="2" s="1"/>
  <c r="F14" i="2"/>
  <c r="E14" i="2"/>
  <c r="H14" i="2" s="1"/>
  <c r="F13" i="2"/>
  <c r="E13" i="2"/>
  <c r="H13" i="2" s="1"/>
  <c r="F12" i="2"/>
  <c r="E12" i="2"/>
  <c r="G12" i="2" s="1"/>
  <c r="F11" i="2"/>
  <c r="E11" i="2"/>
  <c r="G11" i="2" s="1"/>
  <c r="F10" i="2"/>
  <c r="E10" i="2"/>
  <c r="G10" i="2" s="1"/>
  <c r="F9" i="2"/>
  <c r="E9" i="2"/>
  <c r="G9" i="2" s="1"/>
  <c r="F8" i="2"/>
  <c r="E8" i="2"/>
  <c r="G8" i="2" s="1"/>
  <c r="F7" i="2"/>
  <c r="E7" i="2"/>
  <c r="H7" i="2" s="1"/>
  <c r="F6" i="2"/>
  <c r="E6" i="2"/>
  <c r="H6" i="2" s="1"/>
  <c r="F5" i="2"/>
  <c r="E5" i="2"/>
  <c r="H5" i="2" s="1"/>
  <c r="G18" i="2" l="1"/>
  <c r="G14" i="2"/>
  <c r="G6" i="2"/>
  <c r="F19" i="2"/>
  <c r="H9" i="2"/>
  <c r="H10" i="2"/>
  <c r="G17" i="2"/>
  <c r="H11" i="2"/>
  <c r="H16" i="2"/>
  <c r="E19" i="2"/>
  <c r="G19" i="2" s="1"/>
  <c r="G7" i="2"/>
  <c r="G15" i="2"/>
  <c r="G5" i="2"/>
  <c r="G13" i="2"/>
  <c r="H12" i="2"/>
  <c r="H8" i="2"/>
</calcChain>
</file>

<file path=xl/sharedStrings.xml><?xml version="1.0" encoding="utf-8"?>
<sst xmlns="http://schemas.openxmlformats.org/spreadsheetml/2006/main" count="992" uniqueCount="369">
  <si>
    <t>이 통합 문서 사용법</t>
  </si>
  <si>
    <r>
      <rPr>
        <sz val="11"/>
        <color rgb="FF000000"/>
        <rFont val="Arial"/>
        <family val="2"/>
      </rPr>
      <t>1. '</t>
    </r>
    <r>
      <rPr>
        <sz val="11"/>
        <color rgb="FF000000"/>
        <rFont val="Noto Sans CJK SC"/>
        <family val="2"/>
      </rPr>
      <t>기록</t>
    </r>
    <r>
      <rPr>
        <sz val="11"/>
        <color rgb="FF000000"/>
        <rFont val="Arial"/>
        <family val="2"/>
      </rPr>
      <t xml:space="preserve">' </t>
    </r>
    <r>
      <rPr>
        <sz val="11"/>
        <color rgb="FF000000"/>
        <rFont val="Noto Sans CJK SC"/>
        <family val="2"/>
      </rPr>
      <t>시트에서 각 시험</t>
    </r>
    <r>
      <rPr>
        <sz val="11"/>
        <color rgb="FF000000"/>
        <rFont val="Arial"/>
        <family val="2"/>
      </rPr>
      <t>(T-001~T-014)</t>
    </r>
    <r>
      <rPr>
        <sz val="11"/>
        <color rgb="FF000000"/>
        <rFont val="Noto Sans CJK SC"/>
        <family val="2"/>
      </rPr>
      <t>의 회차별로 결과를 직접 입력합니다</t>
    </r>
    <r>
      <rPr>
        <sz val="11"/>
        <color rgb="FF000000"/>
        <rFont val="Arial"/>
        <family val="2"/>
      </rPr>
      <t>.</t>
    </r>
  </si>
  <si>
    <r>
      <rPr>
        <sz val="10"/>
        <color rgb="FF000000"/>
        <rFont val="Arial"/>
        <family val="2"/>
      </rPr>
      <t xml:space="preserve">   - D</t>
    </r>
    <r>
      <rPr>
        <sz val="10"/>
        <color rgb="FF000000"/>
        <rFont val="Noto Sans CJK SC"/>
        <family val="2"/>
      </rPr>
      <t>열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결과</t>
    </r>
    <r>
      <rPr>
        <sz val="10"/>
        <color rgb="FF000000"/>
        <rFont val="Arial"/>
        <family val="2"/>
      </rPr>
      <t xml:space="preserve">): PASS / FAIL / </t>
    </r>
    <r>
      <rPr>
        <sz val="10"/>
        <color rgb="FF000000"/>
        <rFont val="Noto Sans CJK SC"/>
        <family val="2"/>
      </rPr>
      <t xml:space="preserve">조건부 </t>
    </r>
    <r>
      <rPr>
        <sz val="10"/>
        <color rgb="FF000000"/>
        <rFont val="Arial"/>
        <family val="2"/>
      </rPr>
      <t xml:space="preserve">PASS / </t>
    </r>
    <r>
      <rPr>
        <sz val="10"/>
        <color rgb="FF000000"/>
        <rFont val="Noto Sans CJK SC"/>
        <family val="2"/>
      </rPr>
      <t>미실시 중 드롭다운으로 선택</t>
    </r>
  </si>
  <si>
    <r>
      <rPr>
        <sz val="10"/>
        <color rgb="FF000000"/>
        <rFont val="Arial"/>
        <family val="2"/>
      </rPr>
      <t xml:space="preserve">   - E</t>
    </r>
    <r>
      <rPr>
        <sz val="10"/>
        <color rgb="FF000000"/>
        <rFont val="Noto Sans CJK SC"/>
        <family val="2"/>
      </rPr>
      <t>열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측정값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오차</t>
    </r>
    <r>
      <rPr>
        <sz val="10"/>
        <color rgb="FF000000"/>
        <rFont val="Arial"/>
        <family val="2"/>
      </rPr>
      <t xml:space="preserve">): 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Arial"/>
        <family val="2"/>
      </rPr>
      <t>) '</t>
    </r>
    <r>
      <rPr>
        <sz val="10"/>
        <color rgb="FF000000"/>
        <rFont val="Noto Sans CJK SC"/>
        <family val="2"/>
      </rPr>
      <t xml:space="preserve">오차 </t>
    </r>
    <r>
      <rPr>
        <sz val="10"/>
        <color rgb="FF000000"/>
        <rFont val="Arial"/>
        <family val="2"/>
      </rPr>
      <t>0.8cm', '90.4</t>
    </r>
    <r>
      <rPr>
        <sz val="10"/>
        <color rgb="FF000000"/>
        <rFont val="Noto Sans CJK SC"/>
        <family val="2"/>
      </rPr>
      <t>도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 xml:space="preserve">목표 </t>
    </r>
    <r>
      <rPr>
        <sz val="10"/>
        <color rgb="FF000000"/>
        <rFont val="Arial"/>
        <family val="2"/>
      </rPr>
      <t>90</t>
    </r>
    <r>
      <rPr>
        <sz val="10"/>
        <color rgb="FF000000"/>
        <rFont val="Noto Sans CJK SC"/>
        <family val="2"/>
      </rPr>
      <t>도</t>
    </r>
    <r>
      <rPr>
        <sz val="10"/>
        <color rgb="FF000000"/>
        <rFont val="Arial"/>
        <family val="2"/>
      </rPr>
      <t>)', '</t>
    </r>
    <r>
      <rPr>
        <sz val="10"/>
        <color rgb="FF000000"/>
        <rFont val="Noto Sans CJK SC"/>
        <family val="2"/>
      </rPr>
      <t xml:space="preserve">인식 </t>
    </r>
    <r>
      <rPr>
        <sz val="10"/>
        <color rgb="FF000000"/>
        <rFont val="Arial"/>
        <family val="2"/>
      </rPr>
      <t>3/3</t>
    </r>
    <r>
      <rPr>
        <sz val="10"/>
        <color rgb="FF000000"/>
        <rFont val="Noto Sans CJK SC"/>
        <family val="2"/>
      </rPr>
      <t>프레임</t>
    </r>
    <r>
      <rPr>
        <sz val="10"/>
        <color rgb="FF000000"/>
        <rFont val="Arial"/>
        <family val="2"/>
      </rPr>
      <t>'</t>
    </r>
  </si>
  <si>
    <r>
      <rPr>
        <sz val="10"/>
        <color rgb="FF000000"/>
        <rFont val="Arial"/>
        <family val="2"/>
      </rPr>
      <t xml:space="preserve">   - F</t>
    </r>
    <r>
      <rPr>
        <sz val="10"/>
        <color rgb="FF000000"/>
        <rFont val="Noto Sans CJK SC"/>
        <family val="2"/>
      </rPr>
      <t>열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실패 원인 카테고리</t>
    </r>
    <r>
      <rPr>
        <sz val="10"/>
        <color rgb="FF000000"/>
        <rFont val="Arial"/>
        <family val="2"/>
      </rPr>
      <t>): FAIL</t>
    </r>
    <r>
      <rPr>
        <sz val="10"/>
        <color rgb="FF000000"/>
        <rFont val="Noto Sans CJK SC"/>
        <family val="2"/>
      </rPr>
      <t xml:space="preserve">일 때만 드롭다운에서 선택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 xml:space="preserve">없으면 </t>
    </r>
    <r>
      <rPr>
        <sz val="10"/>
        <color rgb="FF000000"/>
        <rFont val="Arial"/>
        <family val="2"/>
      </rPr>
      <t>'</t>
    </r>
    <r>
      <rPr>
        <sz val="10"/>
        <color rgb="FF000000"/>
        <rFont val="Noto Sans CJK SC"/>
        <family val="2"/>
      </rPr>
      <t>기타</t>
    </r>
    <r>
      <rPr>
        <sz val="10"/>
        <color rgb="FF000000"/>
        <rFont val="Arial"/>
        <family val="2"/>
      </rPr>
      <t xml:space="preserve">' </t>
    </r>
    <r>
      <rPr>
        <sz val="10"/>
        <color rgb="FF000000"/>
        <rFont val="Noto Sans CJK SC"/>
        <family val="2"/>
      </rPr>
      <t xml:space="preserve">선택 후 </t>
    </r>
    <r>
      <rPr>
        <sz val="10"/>
        <color rgb="FF000000"/>
        <rFont val="Arial"/>
        <family val="2"/>
      </rPr>
      <t>G</t>
    </r>
    <r>
      <rPr>
        <sz val="10"/>
        <color rgb="FF000000"/>
        <rFont val="Noto Sans CJK SC"/>
        <family val="2"/>
      </rPr>
      <t>열에 서술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</si>
  <si>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Arial"/>
        <family val="2"/>
      </rPr>
      <t xml:space="preserve">   - G</t>
    </r>
    <r>
      <rPr>
        <sz val="10"/>
        <color rgb="FF000000"/>
        <rFont val="Noto Sans CJK SC"/>
        <family val="2"/>
      </rPr>
      <t>열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실패 원인 상세</t>
    </r>
    <r>
      <rPr>
        <sz val="10"/>
        <color rgb="FF000000"/>
        <rFont val="Arial"/>
        <family val="2"/>
      </rPr>
      <t xml:space="preserve">): </t>
    </r>
    <r>
      <rPr>
        <sz val="10"/>
        <color rgb="FF000000"/>
        <rFont val="Noto Sans CJK SC"/>
        <family val="2"/>
      </rPr>
      <t xml:space="preserve">반드시 구체적으로 서술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Arial"/>
        <family val="2"/>
      </rPr>
      <t xml:space="preserve">: 'AMCL </t>
    </r>
    <r>
      <rPr>
        <sz val="10"/>
        <color rgb="FF000000"/>
        <rFont val="Noto Sans CJK SC"/>
        <family val="2"/>
      </rPr>
      <t xml:space="preserve">초기 위치 오차 누적으로 </t>
    </r>
    <r>
      <rPr>
        <sz val="10"/>
        <color rgb="FF000000"/>
        <rFont val="Arial"/>
        <family val="2"/>
      </rPr>
      <t xml:space="preserve">costmap </t>
    </r>
    <r>
      <rPr>
        <sz val="10"/>
        <color rgb="FF000000"/>
        <rFont val="Noto Sans CJK SC"/>
        <family val="2"/>
      </rPr>
      <t>상 벽 오검출</t>
    </r>
    <r>
      <rPr>
        <sz val="10"/>
        <color rgb="FF000000"/>
        <rFont val="Arial"/>
        <family val="2"/>
      </rPr>
      <t>, ABORTED 3</t>
    </r>
    <r>
      <rPr>
        <sz val="10"/>
        <color rgb="FF000000"/>
        <rFont val="Noto Sans CJK SC"/>
        <family val="2"/>
      </rPr>
      <t>회</t>
    </r>
    <r>
      <rPr>
        <sz val="10"/>
        <color rgb="FF000000"/>
        <rFont val="Arial"/>
        <family val="2"/>
      </rPr>
      <t>')</t>
    </r>
  </si>
  <si>
    <r>
      <rPr>
        <sz val="10"/>
        <color rgb="FF000000"/>
        <rFont val="Arial"/>
        <family val="2"/>
      </rPr>
      <t xml:space="preserve">   - </t>
    </r>
    <r>
      <rPr>
        <sz val="10"/>
        <color rgb="FF000000"/>
        <rFont val="Noto Sans CJK SC"/>
        <family val="2"/>
      </rPr>
      <t>노란색 셀만 입력하면 됩니다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Noto Sans CJK SC"/>
        <family val="2"/>
      </rPr>
      <t>나머지는 자동 계산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참조됩니다</t>
    </r>
    <r>
      <rPr>
        <sz val="10"/>
        <color rgb="FF000000"/>
        <rFont val="Arial"/>
        <family val="2"/>
      </rPr>
      <t>.</t>
    </r>
  </si>
  <si>
    <r>
      <rPr>
        <sz val="11"/>
        <color rgb="FF000000"/>
        <rFont val="Arial"/>
        <family val="2"/>
      </rPr>
      <t>2. '</t>
    </r>
    <r>
      <rPr>
        <sz val="11"/>
        <color rgb="FF000000"/>
        <rFont val="Noto Sans CJK SC"/>
        <family val="2"/>
      </rPr>
      <t>요약</t>
    </r>
    <r>
      <rPr>
        <sz val="11"/>
        <color rgb="FF000000"/>
        <rFont val="Arial"/>
        <family val="2"/>
      </rPr>
      <t xml:space="preserve">' </t>
    </r>
    <r>
      <rPr>
        <sz val="11"/>
        <color rgb="FF000000"/>
        <rFont val="Noto Sans CJK SC"/>
        <family val="2"/>
      </rPr>
      <t xml:space="preserve">시트는 </t>
    </r>
    <r>
      <rPr>
        <sz val="11"/>
        <color rgb="FF000000"/>
        <rFont val="Arial"/>
        <family val="2"/>
      </rPr>
      <t>'</t>
    </r>
    <r>
      <rPr>
        <sz val="11"/>
        <color rgb="FF000000"/>
        <rFont val="Noto Sans CJK SC"/>
        <family val="2"/>
      </rPr>
      <t>기록</t>
    </r>
    <r>
      <rPr>
        <sz val="11"/>
        <color rgb="FF000000"/>
        <rFont val="Arial"/>
        <family val="2"/>
      </rPr>
      <t xml:space="preserve">' </t>
    </r>
    <r>
      <rPr>
        <sz val="11"/>
        <color rgb="FF000000"/>
        <rFont val="Noto Sans CJK SC"/>
        <family val="2"/>
      </rPr>
      <t xml:space="preserve">시트를 기반으로 자동 집계됩니다 </t>
    </r>
    <r>
      <rPr>
        <sz val="11"/>
        <color rgb="FF000000"/>
        <rFont val="Arial"/>
        <family val="2"/>
      </rPr>
      <t>(</t>
    </r>
    <r>
      <rPr>
        <sz val="11"/>
        <color rgb="FF000000"/>
        <rFont val="Noto Sans CJK SC"/>
        <family val="2"/>
      </rPr>
      <t>수식 있음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>직접 입력 금지</t>
    </r>
    <r>
      <rPr>
        <sz val="11"/>
        <color rgb="FF000000"/>
        <rFont val="Arial"/>
        <family val="2"/>
      </rPr>
      <t>).</t>
    </r>
  </si>
  <si>
    <r>
      <rPr>
        <sz val="10"/>
        <color rgb="FF000000"/>
        <rFont val="Arial"/>
        <family val="2"/>
      </rPr>
      <t xml:space="preserve">   - </t>
    </r>
    <r>
      <rPr>
        <sz val="10"/>
        <color rgb="FF000000"/>
        <rFont val="Noto Sans CJK SC"/>
        <family val="2"/>
      </rPr>
      <t>시험별 성공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실패 개수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성공률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판정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합격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조건부 합격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불합격</t>
    </r>
    <r>
      <rPr>
        <sz val="10"/>
        <color rgb="FF000000"/>
        <rFont val="Arial"/>
        <family val="2"/>
      </rPr>
      <t>)</t>
    </r>
    <r>
      <rPr>
        <sz val="10"/>
        <color rgb="FF000000"/>
        <rFont val="Noto Sans CJK SC"/>
        <family val="2"/>
      </rPr>
      <t>이 자동으로 갱신됩니다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</si>
  <si>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Arial"/>
        <family val="2"/>
      </rPr>
      <t xml:space="preserve">   - </t>
    </r>
    <r>
      <rPr>
        <sz val="10"/>
        <color rgb="FF000000"/>
        <rFont val="Noto Sans CJK SC"/>
        <family val="2"/>
      </rPr>
      <t>판정 기준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Noto Sans CJK SC"/>
        <family val="2"/>
      </rPr>
      <t xml:space="preserve">전량 </t>
    </r>
    <r>
      <rPr>
        <sz val="10"/>
        <color rgb="FF000000"/>
        <rFont val="Arial"/>
        <family val="2"/>
      </rPr>
      <t>PASS=</t>
    </r>
    <r>
      <rPr>
        <sz val="10"/>
        <color rgb="FF000000"/>
        <rFont val="Noto Sans CJK SC"/>
        <family val="2"/>
      </rPr>
      <t>합격</t>
    </r>
    <r>
      <rPr>
        <sz val="10"/>
        <color rgb="FF000000"/>
        <rFont val="Arial"/>
        <family val="2"/>
      </rPr>
      <t xml:space="preserve">, 80% </t>
    </r>
    <r>
      <rPr>
        <sz val="10"/>
        <color rgb="FF000000"/>
        <rFont val="Noto Sans CJK SC"/>
        <family val="2"/>
      </rPr>
      <t xml:space="preserve">이상 </t>
    </r>
    <r>
      <rPr>
        <sz val="10"/>
        <color rgb="FF000000"/>
        <rFont val="Arial"/>
        <family val="2"/>
      </rPr>
      <t>PASS=</t>
    </r>
    <r>
      <rPr>
        <sz val="10"/>
        <color rgb="FF000000"/>
        <rFont val="Noto Sans CJK SC"/>
        <family val="2"/>
      </rPr>
      <t>조건부 합격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미만</t>
    </r>
    <r>
      <rPr>
        <sz val="10"/>
        <color rgb="FF000000"/>
        <rFont val="Arial"/>
        <family val="2"/>
      </rPr>
      <t>=</t>
    </r>
    <r>
      <rPr>
        <sz val="10"/>
        <color rgb="FF000000"/>
        <rFont val="Noto Sans CJK SC"/>
        <family val="2"/>
      </rPr>
      <t xml:space="preserve">불합격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필요시 임계값 조정 가능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</si>
  <si>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Arial"/>
        <family val="2"/>
      </rPr>
      <t xml:space="preserve">   - </t>
    </r>
    <r>
      <rPr>
        <sz val="10"/>
        <color rgb="FF000000"/>
        <rFont val="Noto Sans CJK SC"/>
        <family val="2"/>
      </rPr>
      <t>실패 원인 카테고리별 발생 건수도 하단에 자동 집계됩니다</t>
    </r>
    <r>
      <rPr>
        <sz val="10"/>
        <color rgb="FF000000"/>
        <rFont val="Arial"/>
        <family val="2"/>
      </rPr>
      <t>.</t>
    </r>
  </si>
  <si>
    <r>
      <rPr>
        <sz val="11"/>
        <color rgb="FF000000"/>
        <rFont val="Arial"/>
        <family val="2"/>
      </rPr>
      <t>3. '</t>
    </r>
    <r>
      <rPr>
        <sz val="11"/>
        <color rgb="FF000000"/>
        <rFont val="Noto Sans CJK SC"/>
        <family val="2"/>
      </rPr>
      <t>시험항목 상세</t>
    </r>
    <r>
      <rPr>
        <sz val="11"/>
        <color rgb="FF000000"/>
        <rFont val="Arial"/>
        <family val="2"/>
      </rPr>
      <t xml:space="preserve">' </t>
    </r>
    <r>
      <rPr>
        <sz val="11"/>
        <color rgb="FF000000"/>
        <rFont val="Noto Sans CJK SC"/>
        <family val="2"/>
      </rPr>
      <t xml:space="preserve">시트는 각 시험이 </t>
    </r>
    <r>
      <rPr>
        <sz val="11"/>
        <color rgb="FF000000"/>
        <rFont val="Arial"/>
        <family val="2"/>
      </rPr>
      <t>driving_waypoint_node.py</t>
    </r>
    <r>
      <rPr>
        <sz val="11"/>
        <color rgb="FF000000"/>
        <rFont val="Noto Sans CJK SC"/>
        <family val="2"/>
      </rPr>
      <t>의 어느 함수</t>
    </r>
    <r>
      <rPr>
        <sz val="11"/>
        <color rgb="FF000000"/>
        <rFont val="Arial"/>
        <family val="2"/>
      </rPr>
      <t>/</t>
    </r>
    <r>
      <rPr>
        <sz val="11"/>
        <color rgb="FF000000"/>
        <rFont val="Noto Sans CJK SC"/>
        <family val="2"/>
      </rPr>
      <t>모듈과</t>
    </r>
  </si>
  <si>
    <r>
      <rPr>
        <sz val="11"/>
        <color rgb="FF000000"/>
        <rFont val="Noto Sans CJK SC"/>
        <family val="2"/>
      </rPr>
      <t xml:space="preserve">   연결되는지 정리한 참고표입니다</t>
    </r>
    <r>
      <rPr>
        <sz val="11"/>
        <color rgb="FF000000"/>
        <rFont val="Noto Sans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>실패 원인 분석 시 참고하세요</t>
    </r>
    <r>
      <rPr>
        <sz val="11"/>
        <color rgb="FF000000"/>
        <rFont val="Noto Sans"/>
        <family val="3"/>
        <charset val="129"/>
      </rPr>
      <t>.</t>
    </r>
  </si>
  <si>
    <r>
      <rPr>
        <sz val="11"/>
        <color rgb="FF000000"/>
        <rFont val="Arial"/>
        <family val="2"/>
      </rPr>
      <t xml:space="preserve">4. </t>
    </r>
    <r>
      <rPr>
        <sz val="11"/>
        <color rgb="FF000000"/>
        <rFont val="Noto Sans CJK SC"/>
        <family val="2"/>
      </rPr>
      <t xml:space="preserve">반복 횟수는 </t>
    </r>
    <r>
      <rPr>
        <sz val="11"/>
        <color rgb="FF000000"/>
        <rFont val="Arial"/>
        <family val="2"/>
      </rPr>
      <t xml:space="preserve">URS </t>
    </r>
    <r>
      <rPr>
        <sz val="11"/>
        <color rgb="FF000000"/>
        <rFont val="Noto Sans CJK SC"/>
        <family val="2"/>
      </rPr>
      <t>문서 기준 기본값이 채워져 있으며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Noto Sans CJK SC"/>
        <family val="2"/>
      </rPr>
      <t xml:space="preserve">필요 시 </t>
    </r>
    <r>
      <rPr>
        <sz val="11"/>
        <color rgb="FF000000"/>
        <rFont val="Arial"/>
        <family val="2"/>
      </rPr>
      <t>'</t>
    </r>
    <r>
      <rPr>
        <sz val="11"/>
        <color rgb="FF000000"/>
        <rFont val="Noto Sans CJK SC"/>
        <family val="2"/>
      </rPr>
      <t>기록</t>
    </r>
    <r>
      <rPr>
        <sz val="11"/>
        <color rgb="FF000000"/>
        <rFont val="Arial"/>
        <family val="2"/>
      </rPr>
      <t xml:space="preserve">' </t>
    </r>
    <r>
      <rPr>
        <sz val="11"/>
        <color rgb="FF000000"/>
        <rFont val="Noto Sans CJK SC"/>
        <family val="2"/>
      </rPr>
      <t>시트에 행을</t>
    </r>
  </si>
  <si>
    <r>
      <rPr>
        <sz val="11"/>
        <color rgb="FF000000"/>
        <rFont val="Noto Sans CJK SC"/>
        <family val="2"/>
      </rPr>
      <t xml:space="preserve">   추가</t>
    </r>
    <r>
      <rPr>
        <sz val="11"/>
        <color rgb="FF000000"/>
        <rFont val="Noto Sans"/>
        <family val="3"/>
        <charset val="129"/>
      </rPr>
      <t>/</t>
    </r>
    <r>
      <rPr>
        <sz val="11"/>
        <color rgb="FF000000"/>
        <rFont val="Noto Sans CJK SC"/>
        <family val="2"/>
      </rPr>
      <t xml:space="preserve">삭제해 탄력적으로 조정할 수 있습니다 </t>
    </r>
    <r>
      <rPr>
        <sz val="11"/>
        <color rgb="FF000000"/>
        <rFont val="Noto Sans"/>
        <family val="3"/>
        <charset val="129"/>
      </rPr>
      <t>(</t>
    </r>
    <r>
      <rPr>
        <sz val="11"/>
        <color rgb="FF000000"/>
        <rFont val="Noto Sans CJK SC"/>
        <family val="2"/>
      </rPr>
      <t xml:space="preserve">요약 시트 수식은 </t>
    </r>
    <r>
      <rPr>
        <sz val="11"/>
        <color rgb="FF000000"/>
        <rFont val="Noto Sans"/>
        <family val="3"/>
        <charset val="129"/>
      </rPr>
      <t xml:space="preserve">COUNTIFS </t>
    </r>
    <r>
      <rPr>
        <sz val="11"/>
        <color rgb="FF000000"/>
        <rFont val="Noto Sans CJK SC"/>
        <family val="2"/>
      </rPr>
      <t>기반이라 자동 반영됨</t>
    </r>
    <r>
      <rPr>
        <sz val="11"/>
        <color rgb="FF000000"/>
        <rFont val="Noto Sans"/>
        <family val="3"/>
        <charset val="129"/>
      </rPr>
      <t>).</t>
    </r>
  </si>
  <si>
    <r>
      <rPr>
        <b/>
        <sz val="14"/>
        <color rgb="FF305496"/>
        <rFont val="Arial"/>
        <family val="2"/>
      </rPr>
      <t xml:space="preserve">YEYU </t>
    </r>
    <r>
      <rPr>
        <b/>
        <sz val="14"/>
        <color rgb="FF305496"/>
        <rFont val="Noto Sans CJK SC"/>
        <family val="2"/>
      </rPr>
      <t>자율주행 사전검증 로봇 — 최종 시연 전 시험 결과 요약</t>
    </r>
  </si>
  <si>
    <r>
      <rPr>
        <i/>
        <sz val="10"/>
        <color rgb="FF666666"/>
        <rFont val="Noto Sans CJK SC"/>
        <family val="2"/>
      </rPr>
      <t>작성일</t>
    </r>
    <r>
      <rPr>
        <i/>
        <sz val="10"/>
        <color rgb="FF666666"/>
        <rFont val="Noto Sans"/>
        <family val="3"/>
        <charset val="129"/>
      </rPr>
      <t xml:space="preserve">: 2026-08-18   /   </t>
    </r>
    <r>
      <rPr>
        <i/>
        <sz val="10"/>
        <color rgb="FF666666"/>
        <rFont val="Noto Sans CJK SC"/>
        <family val="2"/>
      </rPr>
      <t>시험 장소</t>
    </r>
    <r>
      <rPr>
        <i/>
        <sz val="10"/>
        <color rgb="FF666666"/>
        <rFont val="Noto Sans"/>
        <family val="3"/>
        <charset val="129"/>
      </rPr>
      <t xml:space="preserve">: yeyu </t>
    </r>
    <r>
      <rPr>
        <i/>
        <sz val="10"/>
        <color rgb="FF666666"/>
        <rFont val="Noto Sans CJK SC"/>
        <family val="2"/>
      </rPr>
      <t>자체 제작 미니 테스트 코스</t>
    </r>
    <r>
      <rPr>
        <i/>
        <sz val="10"/>
        <color rgb="FF666666"/>
        <rFont val="Noto Sans"/>
        <family val="3"/>
        <charset val="129"/>
      </rPr>
      <t>(</t>
    </r>
    <r>
      <rPr>
        <i/>
        <sz val="10"/>
        <color rgb="FF666666"/>
        <rFont val="Noto Sans CJK SC"/>
        <family val="2"/>
      </rPr>
      <t>실내</t>
    </r>
    <r>
      <rPr>
        <i/>
        <sz val="10"/>
        <color rgb="FF666666"/>
        <rFont val="Noto Sans"/>
        <family val="3"/>
        <charset val="129"/>
      </rPr>
      <t xml:space="preserve">)   /   </t>
    </r>
    <r>
      <rPr>
        <i/>
        <sz val="10"/>
        <color rgb="FF666666"/>
        <rFont val="Noto Sans CJK SC"/>
        <family val="2"/>
      </rPr>
      <t>시험 담당</t>
    </r>
    <r>
      <rPr>
        <i/>
        <sz val="10"/>
        <color rgb="FF666666"/>
        <rFont val="Noto Sans"/>
        <family val="3"/>
        <charset val="129"/>
      </rPr>
      <t xml:space="preserve">: </t>
    </r>
    <r>
      <rPr>
        <i/>
        <sz val="10"/>
        <color rgb="FF666666"/>
        <rFont val="Noto Sans CJK SC"/>
        <family val="2"/>
      </rPr>
      <t>강유나</t>
    </r>
    <r>
      <rPr>
        <i/>
        <sz val="10"/>
        <color rgb="FF666666"/>
        <rFont val="Noto Sans"/>
        <family val="3"/>
        <charset val="129"/>
      </rPr>
      <t xml:space="preserve">, </t>
    </r>
    <r>
      <rPr>
        <i/>
        <sz val="10"/>
        <color rgb="FF666666"/>
        <rFont val="Noto Sans CJK SC"/>
        <family val="2"/>
      </rPr>
      <t>김예은</t>
    </r>
  </si>
  <si>
    <r>
      <rPr>
        <b/>
        <sz val="11"/>
        <color rgb="FFFFFFFF"/>
        <rFont val="Noto Sans CJK SC"/>
        <family val="2"/>
      </rPr>
      <t xml:space="preserve">시험 </t>
    </r>
    <r>
      <rPr>
        <b/>
        <sz val="11"/>
        <color rgb="FFFFFFFF"/>
        <rFont val="Noto Sans"/>
        <family val="3"/>
        <charset val="129"/>
      </rPr>
      <t>ID</t>
    </r>
  </si>
  <si>
    <t>시험 내용</t>
  </si>
  <si>
    <r>
      <rPr>
        <b/>
        <sz val="11"/>
        <color rgb="FFFFFFFF"/>
        <rFont val="Noto Sans CJK SC"/>
        <family val="2"/>
      </rPr>
      <t>목표</t>
    </r>
    <r>
      <rPr>
        <b/>
        <sz val="11"/>
        <color rgb="FFFFFFFF"/>
        <rFont val="Noto Sans"/>
        <family val="3"/>
        <charset val="129"/>
      </rPr>
      <t>(</t>
    </r>
    <r>
      <rPr>
        <b/>
        <sz val="11"/>
        <color rgb="FFFFFFFF"/>
        <rFont val="Noto Sans CJK SC"/>
        <family val="2"/>
      </rPr>
      <t>인수 기준</t>
    </r>
    <r>
      <rPr>
        <b/>
        <sz val="11"/>
        <color rgb="FFFFFFFF"/>
        <rFont val="Noto Sans"/>
        <family val="3"/>
        <charset val="129"/>
      </rPr>
      <t>)</t>
    </r>
  </si>
  <si>
    <t>반복 횟수</t>
  </si>
  <si>
    <r>
      <rPr>
        <b/>
        <sz val="11"/>
        <color rgb="FFFFFFFF"/>
        <rFont val="Noto Sans CJK SC"/>
        <family val="2"/>
      </rPr>
      <t>성공</t>
    </r>
    <r>
      <rPr>
        <b/>
        <sz val="11"/>
        <color rgb="FFFFFFFF"/>
        <rFont val="Noto Sans"/>
        <family val="3"/>
        <charset val="129"/>
      </rPr>
      <t>(PASS)</t>
    </r>
  </si>
  <si>
    <r>
      <rPr>
        <b/>
        <sz val="11"/>
        <color rgb="FFFFFFFF"/>
        <rFont val="Noto Sans CJK SC"/>
        <family val="2"/>
      </rPr>
      <t>실패</t>
    </r>
    <r>
      <rPr>
        <b/>
        <sz val="11"/>
        <color rgb="FFFFFFFF"/>
        <rFont val="Noto Sans"/>
        <family val="3"/>
        <charset val="129"/>
      </rPr>
      <t>(FAIL)</t>
    </r>
  </si>
  <si>
    <t>성공률</t>
  </si>
  <si>
    <t>판정</t>
  </si>
  <si>
    <t>T-001</t>
  </si>
  <si>
    <t>크랭크 코스 주행</t>
  </si>
  <si>
    <r>
      <rPr>
        <sz val="10"/>
        <color theme="1"/>
        <rFont val="Noto Sans CJK SC"/>
        <family val="2"/>
      </rPr>
      <t xml:space="preserve">오차 </t>
    </r>
    <r>
      <rPr>
        <sz val="10"/>
        <color theme="1"/>
        <rFont val="Noto Sans"/>
        <family val="3"/>
        <charset val="129"/>
      </rPr>
      <t xml:space="preserve">1cm </t>
    </r>
    <r>
      <rPr>
        <sz val="10"/>
        <color theme="1"/>
        <rFont val="Noto Sans CJK SC"/>
        <family val="2"/>
      </rPr>
      <t>이하</t>
    </r>
  </si>
  <si>
    <t>T-002</t>
  </si>
  <si>
    <r>
      <rPr>
        <sz val="10"/>
        <color theme="1"/>
        <rFont val="Arial"/>
        <family val="2"/>
      </rPr>
      <t xml:space="preserve">S </t>
    </r>
    <r>
      <rPr>
        <sz val="10"/>
        <color theme="1"/>
        <rFont val="Noto Sans CJK SC"/>
        <family val="2"/>
      </rPr>
      <t>코스 주행</t>
    </r>
  </si>
  <si>
    <t>각도 오차 최소화</t>
  </si>
  <si>
    <t>T-003</t>
  </si>
  <si>
    <t>목표 경유점 도착</t>
  </si>
  <si>
    <r>
      <rPr>
        <sz val="10"/>
        <color theme="1"/>
        <rFont val="Noto Sans CJK SC"/>
        <family val="2"/>
      </rPr>
      <t xml:space="preserve">위치 오차 </t>
    </r>
    <r>
      <rPr>
        <sz val="10"/>
        <color theme="1"/>
        <rFont val="Noto Sans"/>
        <family val="3"/>
        <charset val="129"/>
      </rPr>
      <t xml:space="preserve">3cm </t>
    </r>
    <r>
      <rPr>
        <sz val="10"/>
        <color theme="1"/>
        <rFont val="Noto Sans CJK SC"/>
        <family val="2"/>
      </rPr>
      <t>이내</t>
    </r>
  </si>
  <si>
    <t>T-004</t>
  </si>
  <si>
    <t>좁은 통로 통과</t>
  </si>
  <si>
    <t>충돌 없이 통과</t>
  </si>
  <si>
    <t>T-005</t>
  </si>
  <si>
    <t>신호등 인식 확인</t>
  </si>
  <si>
    <r>
      <rPr>
        <sz val="10"/>
        <color theme="1"/>
        <rFont val="Noto Sans CJK SC"/>
        <family val="2"/>
      </rPr>
      <t xml:space="preserve">오검출 없이 초록 신호 </t>
    </r>
    <r>
      <rPr>
        <sz val="10"/>
        <color theme="1"/>
        <rFont val="Noto Sans"/>
        <family val="3"/>
        <charset val="129"/>
      </rPr>
      <t>3</t>
    </r>
    <r>
      <rPr>
        <sz val="10"/>
        <color theme="1"/>
        <rFont val="Noto Sans CJK SC"/>
        <family val="2"/>
      </rPr>
      <t>프레임 연속 인식 후 재출발</t>
    </r>
  </si>
  <si>
    <t>T-006</t>
  </si>
  <si>
    <t>가속 확인</t>
  </si>
  <si>
    <r>
      <rPr>
        <sz val="10"/>
        <color theme="1"/>
        <rFont val="Noto Sans CJK SC"/>
        <family val="2"/>
      </rPr>
      <t>표지판 인식 후 가속</t>
    </r>
    <r>
      <rPr>
        <sz val="10"/>
        <color theme="1"/>
        <rFont val="Noto Sans"/>
        <family val="3"/>
        <charset val="129"/>
      </rPr>
      <t xml:space="preserve">, </t>
    </r>
    <r>
      <rPr>
        <sz val="10"/>
        <color theme="1"/>
        <rFont val="Noto Sans CJK SC"/>
        <family val="2"/>
      </rPr>
      <t>규정속도</t>
    </r>
    <r>
      <rPr>
        <sz val="10"/>
        <color theme="1"/>
        <rFont val="Noto Sans"/>
        <family val="3"/>
        <charset val="129"/>
      </rPr>
      <t xml:space="preserve">(0.18m/s) </t>
    </r>
    <r>
      <rPr>
        <sz val="10"/>
        <color theme="1"/>
        <rFont val="Noto Sans CJK SC"/>
        <family val="2"/>
      </rPr>
      <t>이상 유지</t>
    </r>
  </si>
  <si>
    <t>T-007</t>
  </si>
  <si>
    <t>장애물 감지</t>
  </si>
  <si>
    <r>
      <rPr>
        <sz val="10"/>
        <color theme="1"/>
        <rFont val="Noto Sans CJK SC"/>
        <family val="2"/>
      </rPr>
      <t xml:space="preserve">정지 성공률 </t>
    </r>
    <r>
      <rPr>
        <sz val="10"/>
        <color theme="1"/>
        <rFont val="Noto Sans"/>
        <family val="3"/>
        <charset val="129"/>
      </rPr>
      <t>100%</t>
    </r>
  </si>
  <si>
    <t>T-008</t>
  </si>
  <si>
    <r>
      <rPr>
        <sz val="10"/>
        <color theme="1"/>
        <rFont val="Arial"/>
        <family val="2"/>
      </rPr>
      <t xml:space="preserve">ArUco </t>
    </r>
    <r>
      <rPr>
        <sz val="10"/>
        <color theme="1"/>
        <rFont val="Noto Sans CJK SC"/>
        <family val="2"/>
      </rPr>
      <t>마커 인식</t>
    </r>
  </si>
  <si>
    <t>인식 성공률 기록</t>
  </si>
  <si>
    <t>T-009</t>
  </si>
  <si>
    <t>충전 위치 파킹</t>
  </si>
  <si>
    <t>성공률과 오차 기록</t>
  </si>
  <si>
    <t>T-010</t>
  </si>
  <si>
    <t>재시험 주행</t>
  </si>
  <si>
    <t>지정 재시험 경로로 정상 재이동 및 재판정 성공률</t>
  </si>
  <si>
    <t>T-011</t>
  </si>
  <si>
    <r>
      <rPr>
        <sz val="10"/>
        <color theme="1"/>
        <rFont val="Arial"/>
        <family val="2"/>
      </rPr>
      <t xml:space="preserve">Wi-Fi </t>
    </r>
    <r>
      <rPr>
        <sz val="10"/>
        <color theme="1"/>
        <rFont val="Noto Sans CJK SC"/>
        <family val="2"/>
      </rPr>
      <t>연결 해제</t>
    </r>
  </si>
  <si>
    <t>정의된 안전 동작 수행</t>
  </si>
  <si>
    <t>T-012</t>
  </si>
  <si>
    <t>노드 비정상 종료</t>
  </si>
  <si>
    <t>자동 재시작 확인</t>
  </si>
  <si>
    <t>T-013</t>
  </si>
  <si>
    <t>전원 재인가</t>
  </si>
  <si>
    <t>자동 실행 확인</t>
  </si>
  <si>
    <t>T-014</t>
  </si>
  <si>
    <t>전체 서비스 시나리오</t>
  </si>
  <si>
    <t>성공률 기록</t>
  </si>
  <si>
    <t>전체</t>
  </si>
  <si>
    <r>
      <rPr>
        <b/>
        <sz val="11"/>
        <color theme="1"/>
        <rFont val="Noto Sans CJK SC"/>
        <family val="2"/>
      </rPr>
      <t xml:space="preserve">실패 원인 카테고리별 집계 </t>
    </r>
    <r>
      <rPr>
        <b/>
        <sz val="11"/>
        <color theme="1"/>
        <rFont val="Noto Sans"/>
        <family val="3"/>
        <charset val="129"/>
      </rPr>
      <t>(</t>
    </r>
    <r>
      <rPr>
        <b/>
        <sz val="11"/>
        <color theme="1"/>
        <rFont val="Noto Sans CJK SC"/>
        <family val="2"/>
      </rPr>
      <t>기록 시트 기준</t>
    </r>
    <r>
      <rPr>
        <b/>
        <sz val="11"/>
        <color theme="1"/>
        <rFont val="Noto Sans"/>
        <family val="3"/>
        <charset val="129"/>
      </rPr>
      <t>)</t>
    </r>
  </si>
  <si>
    <t>실패 원인 카테고리</t>
  </si>
  <si>
    <t>발생 건수</t>
  </si>
  <si>
    <r>
      <rPr>
        <sz val="10"/>
        <color theme="1"/>
        <rFont val="Noto Sans CJK SC"/>
        <family val="2"/>
      </rPr>
      <t>라인</t>
    </r>
    <r>
      <rPr>
        <sz val="10"/>
        <color theme="1"/>
        <rFont val="Noto Sans"/>
        <family val="3"/>
        <charset val="129"/>
      </rPr>
      <t xml:space="preserve">(IR) </t>
    </r>
    <r>
      <rPr>
        <sz val="10"/>
        <color theme="1"/>
        <rFont val="Noto Sans CJK SC"/>
        <family val="2"/>
      </rPr>
      <t>이탈</t>
    </r>
    <r>
      <rPr>
        <sz val="10"/>
        <color theme="1"/>
        <rFont val="Noto Sans"/>
        <family val="3"/>
        <charset val="129"/>
      </rPr>
      <t>/</t>
    </r>
    <r>
      <rPr>
        <sz val="10"/>
        <color theme="1"/>
        <rFont val="Noto Sans CJK SC"/>
        <family val="2"/>
      </rPr>
      <t>오검출</t>
    </r>
  </si>
  <si>
    <r>
      <rPr>
        <sz val="10"/>
        <color theme="1"/>
        <rFont val="Noto Sans CJK SC"/>
        <family val="2"/>
      </rPr>
      <t>카메라 인식 실패</t>
    </r>
    <r>
      <rPr>
        <sz val="10"/>
        <color theme="1"/>
        <rFont val="Noto Sans"/>
        <family val="3"/>
        <charset val="129"/>
      </rPr>
      <t>(HSV/ArUco)</t>
    </r>
  </si>
  <si>
    <r>
      <rPr>
        <sz val="10"/>
        <color theme="1"/>
        <rFont val="Arial"/>
        <family val="2"/>
      </rPr>
      <t xml:space="preserve">Nav2 </t>
    </r>
    <r>
      <rPr>
        <sz val="10"/>
        <color theme="1"/>
        <rFont val="Noto Sans CJK SC"/>
        <family val="2"/>
      </rPr>
      <t>경로탐색 실패</t>
    </r>
    <r>
      <rPr>
        <sz val="10"/>
        <color theme="1"/>
        <rFont val="Arial"/>
        <family val="2"/>
      </rPr>
      <t>(ABORTED)</t>
    </r>
  </si>
  <si>
    <r>
      <rPr>
        <sz val="10"/>
        <color theme="1"/>
        <rFont val="Arial"/>
        <family val="2"/>
      </rPr>
      <t xml:space="preserve">AMCL/TF </t>
    </r>
    <r>
      <rPr>
        <sz val="10"/>
        <color theme="1"/>
        <rFont val="Noto Sans CJK SC"/>
        <family val="2"/>
      </rPr>
      <t>불안정</t>
    </r>
  </si>
  <si>
    <r>
      <rPr>
        <sz val="10"/>
        <color theme="1"/>
        <rFont val="Noto Sans CJK SC"/>
        <family val="2"/>
      </rPr>
      <t>장애물 오감지</t>
    </r>
    <r>
      <rPr>
        <sz val="10"/>
        <color theme="1"/>
        <rFont val="Noto Sans"/>
        <family val="3"/>
        <charset val="129"/>
      </rPr>
      <t>/</t>
    </r>
    <r>
      <rPr>
        <sz val="10"/>
        <color theme="1"/>
        <rFont val="Noto Sans CJK SC"/>
        <family val="2"/>
      </rPr>
      <t>미감지</t>
    </r>
  </si>
  <si>
    <r>
      <rPr>
        <sz val="10"/>
        <color theme="1"/>
        <rFont val="Noto Sans CJK SC"/>
        <family val="2"/>
      </rPr>
      <t>통신</t>
    </r>
    <r>
      <rPr>
        <sz val="10"/>
        <color theme="1"/>
        <rFont val="Noto Sans"/>
        <family val="3"/>
        <charset val="129"/>
      </rPr>
      <t xml:space="preserve">(Wi-Fi/Serial) </t>
    </r>
    <r>
      <rPr>
        <sz val="10"/>
        <color theme="1"/>
        <rFont val="Noto Sans CJK SC"/>
        <family val="2"/>
      </rPr>
      <t>문제</t>
    </r>
  </si>
  <si>
    <r>
      <rPr>
        <sz val="10"/>
        <color theme="1"/>
        <rFont val="Noto Sans CJK SC"/>
        <family val="2"/>
      </rPr>
      <t>정렬</t>
    </r>
    <r>
      <rPr>
        <sz val="10"/>
        <color theme="1"/>
        <rFont val="Noto Sans"/>
        <family val="3"/>
        <charset val="129"/>
      </rPr>
      <t>/</t>
    </r>
    <r>
      <rPr>
        <sz val="10"/>
        <color theme="1"/>
        <rFont val="Noto Sans CJK SC"/>
        <family val="2"/>
      </rPr>
      <t>오차 기준 초과</t>
    </r>
  </si>
  <si>
    <r>
      <rPr>
        <sz val="10"/>
        <color theme="1"/>
        <rFont val="Noto Sans CJK SC"/>
        <family val="2"/>
      </rPr>
      <t>타임아웃</t>
    </r>
    <r>
      <rPr>
        <sz val="10"/>
        <color theme="1"/>
        <rFont val="Noto Sans"/>
        <family val="3"/>
        <charset val="129"/>
      </rPr>
      <t>(</t>
    </r>
    <r>
      <rPr>
        <sz val="10"/>
        <color theme="1"/>
        <rFont val="Noto Sans CJK SC"/>
        <family val="2"/>
      </rPr>
      <t>제한시간 초과</t>
    </r>
    <r>
      <rPr>
        <sz val="10"/>
        <color theme="1"/>
        <rFont val="Noto Sans"/>
        <family val="3"/>
        <charset val="129"/>
      </rPr>
      <t>)</t>
    </r>
  </si>
  <si>
    <r>
      <rPr>
        <sz val="10"/>
        <color theme="1"/>
        <rFont val="Noto Sans CJK SC"/>
        <family val="2"/>
      </rPr>
      <t>하드웨어</t>
    </r>
    <r>
      <rPr>
        <sz val="10"/>
        <color theme="1"/>
        <rFont val="Noto Sans"/>
        <family val="3"/>
        <charset val="129"/>
      </rPr>
      <t>(</t>
    </r>
    <r>
      <rPr>
        <sz val="10"/>
        <color theme="1"/>
        <rFont val="Noto Sans CJK SC"/>
        <family val="2"/>
      </rPr>
      <t>모터</t>
    </r>
    <r>
      <rPr>
        <sz val="10"/>
        <color theme="1"/>
        <rFont val="Noto Sans"/>
        <family val="3"/>
        <charset val="129"/>
      </rPr>
      <t>/</t>
    </r>
    <r>
      <rPr>
        <sz val="10"/>
        <color theme="1"/>
        <rFont val="Noto Sans CJK SC"/>
        <family val="2"/>
      </rPr>
      <t>센서</t>
    </r>
    <r>
      <rPr>
        <sz val="10"/>
        <color theme="1"/>
        <rFont val="Noto Sans"/>
        <family val="3"/>
        <charset val="129"/>
      </rPr>
      <t xml:space="preserve">) </t>
    </r>
    <r>
      <rPr>
        <sz val="10"/>
        <color theme="1"/>
        <rFont val="Noto Sans CJK SC"/>
        <family val="2"/>
      </rPr>
      <t>이상</t>
    </r>
  </si>
  <si>
    <r>
      <rPr>
        <sz val="10"/>
        <color theme="1"/>
        <rFont val="Noto Sans CJK SC"/>
        <family val="2"/>
      </rPr>
      <t>소프트웨어 예외</t>
    </r>
    <r>
      <rPr>
        <sz val="10"/>
        <color theme="1"/>
        <rFont val="Noto Sans"/>
        <family val="3"/>
        <charset val="129"/>
      </rPr>
      <t>/</t>
    </r>
    <r>
      <rPr>
        <sz val="10"/>
        <color theme="1"/>
        <rFont val="Noto Sans CJK SC"/>
        <family val="2"/>
      </rPr>
      <t>버그</t>
    </r>
  </si>
  <si>
    <t>기타</t>
  </si>
  <si>
    <t>회차</t>
  </si>
  <si>
    <r>
      <rPr>
        <b/>
        <sz val="11"/>
        <color rgb="FFFFFFFF"/>
        <rFont val="Noto Sans CJK SC"/>
        <family val="2"/>
      </rPr>
      <t>결과</t>
    </r>
    <r>
      <rPr>
        <b/>
        <sz val="11"/>
        <color rgb="FFFFFFFF"/>
        <rFont val="Noto Sans"/>
        <family val="3"/>
        <charset val="129"/>
      </rPr>
      <t>(PASS/FAIL)</t>
    </r>
  </si>
  <si>
    <r>
      <rPr>
        <b/>
        <sz val="11"/>
        <color rgb="FFFFFFFF"/>
        <rFont val="Noto Sans CJK SC"/>
        <family val="2"/>
      </rPr>
      <t>측정값</t>
    </r>
    <r>
      <rPr>
        <b/>
        <sz val="11"/>
        <color rgb="FFFFFFFF"/>
        <rFont val="Noto Sans"/>
        <family val="3"/>
        <charset val="129"/>
      </rPr>
      <t>/</t>
    </r>
    <r>
      <rPr>
        <b/>
        <sz val="11"/>
        <color rgb="FFFFFFFF"/>
        <rFont val="Noto Sans CJK SC"/>
        <family val="2"/>
      </rPr>
      <t>오차</t>
    </r>
  </si>
  <si>
    <t>실패 원인 상세</t>
  </si>
  <si>
    <r>
      <rPr>
        <b/>
        <sz val="11"/>
        <color rgb="FFFFFFFF"/>
        <rFont val="Noto Sans CJK SC"/>
        <family val="2"/>
      </rPr>
      <t>관련 코드</t>
    </r>
    <r>
      <rPr>
        <b/>
        <sz val="11"/>
        <color rgb="FFFFFFFF"/>
        <rFont val="Noto Sans"/>
        <family val="3"/>
        <charset val="129"/>
      </rPr>
      <t>/</t>
    </r>
    <r>
      <rPr>
        <b/>
        <sz val="11"/>
        <color rgb="FFFFFFFF"/>
        <rFont val="Noto Sans CJK SC"/>
        <family val="2"/>
      </rPr>
      <t>모듈</t>
    </r>
  </si>
  <si>
    <t>시험 일시</t>
  </si>
  <si>
    <t>담당자</t>
  </si>
  <si>
    <t>비고</t>
  </si>
  <si>
    <t>FAIL</t>
  </si>
  <si>
    <t>crank_control_loop / _handle_crank_following / _handle_crank_creeping / _handle_crank_turning / _on_crank_done</t>
  </si>
  <si>
    <t>2026-08-13 10:10</t>
  </si>
  <si>
    <t>강유나</t>
  </si>
  <si>
    <r>
      <rPr>
        <sz val="10"/>
        <color theme="1"/>
        <rFont val="Noto Sans CJK SC"/>
        <family val="2"/>
      </rPr>
      <t>라인</t>
    </r>
    <r>
      <rPr>
        <sz val="10"/>
        <color theme="1"/>
        <rFont val="Arial"/>
        <family val="2"/>
      </rPr>
      <t xml:space="preserve">(IR) </t>
    </r>
    <r>
      <rPr>
        <sz val="10"/>
        <color theme="1"/>
        <rFont val="Noto Sans CJK SC"/>
        <family val="2"/>
      </rPr>
      <t>이탈</t>
    </r>
    <r>
      <rPr>
        <sz val="10"/>
        <color theme="1"/>
        <rFont val="Arial"/>
        <family val="2"/>
      </rPr>
      <t>/</t>
    </r>
    <r>
      <rPr>
        <sz val="10"/>
        <color theme="1"/>
        <rFont val="Noto Sans CJK SC"/>
        <family val="2"/>
      </rPr>
      <t>오검출</t>
    </r>
  </si>
  <si>
    <r>
      <rPr>
        <sz val="10"/>
        <color theme="1"/>
        <rFont val="Noto Sans CJK SC"/>
        <family val="2"/>
      </rPr>
      <t>회전 완료 후 직진 복귀 구간에서 라인 재검출 지연으로 오차 누적</t>
    </r>
    <r>
      <rPr>
        <sz val="10"/>
        <color theme="1"/>
        <rFont val="Arial"/>
        <family val="2"/>
      </rPr>
      <t xml:space="preserve">, PID </t>
    </r>
    <r>
      <rPr>
        <sz val="10"/>
        <color theme="1"/>
        <rFont val="Noto Sans CJK SC"/>
        <family val="2"/>
      </rPr>
      <t xml:space="preserve">게인 </t>
    </r>
    <r>
      <rPr>
        <sz val="10"/>
        <color theme="1"/>
        <rFont val="Arial"/>
        <family val="2"/>
      </rPr>
      <t>1</t>
    </r>
    <r>
      <rPr>
        <sz val="10"/>
        <color theme="1"/>
        <rFont val="Noto Sans CJK SC"/>
        <family val="2"/>
      </rPr>
      <t>차 조정 중</t>
    </r>
  </si>
  <si>
    <t>2026-08-13 10:45</t>
  </si>
  <si>
    <t>PASS</t>
  </si>
  <si>
    <t>2026-08-14 09:40</t>
  </si>
  <si>
    <t>2026-08-14 09:56</t>
  </si>
  <si>
    <t>2026-08-15 11:00</t>
  </si>
  <si>
    <t>2026-08-15 11:42</t>
  </si>
  <si>
    <t>2026-08-16 09:00</t>
  </si>
  <si>
    <t>2026-08-16 09:37</t>
  </si>
  <si>
    <t>2026-08-17 09:10</t>
  </si>
  <si>
    <t>2026-08-17 09:25</t>
  </si>
  <si>
    <r>
      <rPr>
        <sz val="10"/>
        <color theme="1"/>
        <rFont val="Noto Sans CJK SC"/>
        <family val="2"/>
      </rPr>
      <t xml:space="preserve">도착 지점 거리오차 </t>
    </r>
    <r>
      <rPr>
        <sz val="10"/>
        <color theme="1"/>
        <rFont val="Noto Sans"/>
        <family val="3"/>
        <charset val="129"/>
      </rPr>
      <t>42cm (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Noto Sans"/>
        <family val="3"/>
        <charset val="129"/>
      </rPr>
      <t xml:space="preserve">30cm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Noto Sans"/>
        <family val="3"/>
        <charset val="129"/>
      </rPr>
      <t>)</t>
    </r>
  </si>
  <si>
    <r>
      <rPr>
        <sz val="9"/>
        <color rgb="FF777777"/>
        <rFont val="Arial"/>
        <family val="2"/>
      </rPr>
      <t xml:space="preserve">s_course_control_loop / _detect_s_line_offset / _on_s_course_done (PID </t>
    </r>
    <r>
      <rPr>
        <sz val="9"/>
        <color rgb="FF777777"/>
        <rFont val="Noto Sans CJK SC"/>
        <family val="2"/>
      </rPr>
      <t>조향</t>
    </r>
    <r>
      <rPr>
        <sz val="9"/>
        <color rgb="FF777777"/>
        <rFont val="Arial"/>
        <family val="2"/>
      </rPr>
      <t>, S_ANGULAR_GAIN)</t>
    </r>
  </si>
  <si>
    <t>2026-08-13 14:00</t>
  </si>
  <si>
    <t>2026-08-13 14:17</t>
  </si>
  <si>
    <t>2026-08-14 15:50</t>
  </si>
  <si>
    <r>
      <rPr>
        <sz val="10"/>
        <color theme="1"/>
        <rFont val="Noto Sans CJK SC"/>
        <family val="2"/>
      </rPr>
      <t xml:space="preserve">도착 지점 거리오차 </t>
    </r>
    <r>
      <rPr>
        <sz val="10"/>
        <color theme="1"/>
        <rFont val="Arial"/>
        <family val="2"/>
      </rPr>
      <t>17cm(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Arial"/>
        <family val="2"/>
      </rPr>
      <t xml:space="preserve">30cm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 xml:space="preserve">), </t>
    </r>
    <r>
      <rPr>
        <sz val="10"/>
        <color theme="1"/>
        <rFont val="Noto Sans CJK SC"/>
        <family val="2"/>
      </rPr>
      <t xml:space="preserve">진행각 오차 </t>
    </r>
    <r>
      <rPr>
        <sz val="10"/>
        <color theme="1"/>
        <rFont val="Arial"/>
        <family val="2"/>
      </rPr>
      <t>0.6</t>
    </r>
    <r>
      <rPr>
        <sz val="10"/>
        <color theme="1"/>
        <rFont val="Noto Sans CJK SC"/>
        <family val="2"/>
      </rPr>
      <t>도</t>
    </r>
  </si>
  <si>
    <t>2026-08-14 16:03</t>
  </si>
  <si>
    <r>
      <rPr>
        <sz val="10"/>
        <color theme="1"/>
        <rFont val="Noto Sans CJK SC"/>
        <family val="2"/>
      </rPr>
      <t xml:space="preserve">도착 지점 거리오차 </t>
    </r>
    <r>
      <rPr>
        <sz val="10"/>
        <color theme="1"/>
        <rFont val="Arial"/>
        <family val="2"/>
      </rPr>
      <t>11cm(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Arial"/>
        <family val="2"/>
      </rPr>
      <t xml:space="preserve">30cm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 xml:space="preserve">), </t>
    </r>
    <r>
      <rPr>
        <sz val="10"/>
        <color theme="1"/>
        <rFont val="Noto Sans CJK SC"/>
        <family val="2"/>
      </rPr>
      <t xml:space="preserve">진행각 오차 </t>
    </r>
    <r>
      <rPr>
        <sz val="10"/>
        <color theme="1"/>
        <rFont val="Arial"/>
        <family val="2"/>
      </rPr>
      <t>1.3</t>
    </r>
    <r>
      <rPr>
        <sz val="10"/>
        <color theme="1"/>
        <rFont val="Noto Sans CJK SC"/>
        <family val="2"/>
      </rPr>
      <t>도</t>
    </r>
  </si>
  <si>
    <t>2026-08-15 13:10</t>
  </si>
  <si>
    <r>
      <rPr>
        <sz val="10"/>
        <color theme="1"/>
        <rFont val="Noto Sans CJK SC"/>
        <family val="2"/>
      </rPr>
      <t xml:space="preserve">도착 지점 거리오차 </t>
    </r>
    <r>
      <rPr>
        <sz val="10"/>
        <color theme="1"/>
        <rFont val="Arial"/>
        <family val="2"/>
      </rPr>
      <t>17cm(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Arial"/>
        <family val="2"/>
      </rPr>
      <t xml:space="preserve">30cm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 xml:space="preserve">), </t>
    </r>
    <r>
      <rPr>
        <sz val="10"/>
        <color theme="1"/>
        <rFont val="Noto Sans CJK SC"/>
        <family val="2"/>
      </rPr>
      <t xml:space="preserve">진행각 오차 </t>
    </r>
    <r>
      <rPr>
        <sz val="10"/>
        <color theme="1"/>
        <rFont val="Arial"/>
        <family val="2"/>
      </rPr>
      <t>2.4</t>
    </r>
    <r>
      <rPr>
        <sz val="10"/>
        <color theme="1"/>
        <rFont val="Noto Sans CJK SC"/>
        <family val="2"/>
      </rPr>
      <t>도</t>
    </r>
  </si>
  <si>
    <t>2026-08-15 13:22</t>
  </si>
  <si>
    <r>
      <rPr>
        <sz val="10"/>
        <color theme="1"/>
        <rFont val="Noto Sans CJK SC"/>
        <family val="2"/>
      </rPr>
      <t xml:space="preserve">도착 지점 거리오차 </t>
    </r>
    <r>
      <rPr>
        <sz val="10"/>
        <color theme="1"/>
        <rFont val="Arial"/>
        <family val="2"/>
      </rPr>
      <t>16cm(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Arial"/>
        <family val="2"/>
      </rPr>
      <t xml:space="preserve">30cm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 xml:space="preserve">), </t>
    </r>
    <r>
      <rPr>
        <sz val="10"/>
        <color theme="1"/>
        <rFont val="Noto Sans CJK SC"/>
        <family val="2"/>
      </rPr>
      <t xml:space="preserve">진행각 오차 </t>
    </r>
    <r>
      <rPr>
        <sz val="10"/>
        <color theme="1"/>
        <rFont val="Arial"/>
        <family val="2"/>
      </rPr>
      <t>1.4</t>
    </r>
    <r>
      <rPr>
        <sz val="10"/>
        <color theme="1"/>
        <rFont val="Noto Sans CJK SC"/>
        <family val="2"/>
      </rPr>
      <t>도</t>
    </r>
  </si>
  <si>
    <t>2026-08-16 13:20</t>
  </si>
  <si>
    <r>
      <rPr>
        <sz val="10"/>
        <color theme="1"/>
        <rFont val="Noto Sans CJK SC"/>
        <family val="2"/>
      </rPr>
      <t xml:space="preserve">도착 지점 거리오차 </t>
    </r>
    <r>
      <rPr>
        <sz val="10"/>
        <color theme="1"/>
        <rFont val="Arial"/>
        <family val="2"/>
      </rPr>
      <t>10cm(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Arial"/>
        <family val="2"/>
      </rPr>
      <t xml:space="preserve">30cm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 xml:space="preserve">), </t>
    </r>
    <r>
      <rPr>
        <sz val="10"/>
        <color theme="1"/>
        <rFont val="Noto Sans CJK SC"/>
        <family val="2"/>
      </rPr>
      <t xml:space="preserve">진행각 오차 </t>
    </r>
    <r>
      <rPr>
        <sz val="10"/>
        <color theme="1"/>
        <rFont val="Arial"/>
        <family val="2"/>
      </rPr>
      <t>1.5</t>
    </r>
    <r>
      <rPr>
        <sz val="10"/>
        <color theme="1"/>
        <rFont val="Noto Sans CJK SC"/>
        <family val="2"/>
      </rPr>
      <t>도</t>
    </r>
  </si>
  <si>
    <t>2026-08-16 13:56</t>
  </si>
  <si>
    <r>
      <rPr>
        <sz val="10"/>
        <color theme="1"/>
        <rFont val="Noto Sans CJK SC"/>
        <family val="2"/>
      </rPr>
      <t xml:space="preserve">도착 지점 거리오차 </t>
    </r>
    <r>
      <rPr>
        <sz val="10"/>
        <color theme="1"/>
        <rFont val="Arial"/>
        <family val="2"/>
      </rPr>
      <t>22cm(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Arial"/>
        <family val="2"/>
      </rPr>
      <t xml:space="preserve">30cm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 xml:space="preserve">), </t>
    </r>
    <r>
      <rPr>
        <sz val="10"/>
        <color theme="1"/>
        <rFont val="Noto Sans CJK SC"/>
        <family val="2"/>
      </rPr>
      <t xml:space="preserve">진행각 오차 </t>
    </r>
    <r>
      <rPr>
        <sz val="10"/>
        <color theme="1"/>
        <rFont val="Arial"/>
        <family val="2"/>
      </rPr>
      <t>1.5</t>
    </r>
    <r>
      <rPr>
        <sz val="10"/>
        <color theme="1"/>
        <rFont val="Noto Sans CJK SC"/>
        <family val="2"/>
      </rPr>
      <t>도</t>
    </r>
  </si>
  <si>
    <t>2026-08-17 15:00</t>
  </si>
  <si>
    <r>
      <rPr>
        <sz val="10"/>
        <color theme="1"/>
        <rFont val="Noto Sans CJK SC"/>
        <family val="2"/>
      </rPr>
      <t xml:space="preserve">도착 지점 거리오차 </t>
    </r>
    <r>
      <rPr>
        <sz val="10"/>
        <color theme="1"/>
        <rFont val="Arial"/>
        <family val="2"/>
      </rPr>
      <t>12cm(</t>
    </r>
    <r>
      <rPr>
        <sz val="10"/>
        <color theme="1"/>
        <rFont val="Noto Sans CJK SC"/>
        <family val="2"/>
      </rPr>
      <t xml:space="preserve">기준 </t>
    </r>
    <r>
      <rPr>
        <sz val="10"/>
        <color theme="1"/>
        <rFont val="Arial"/>
        <family val="2"/>
      </rPr>
      <t xml:space="preserve">30cm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 xml:space="preserve">), </t>
    </r>
    <r>
      <rPr>
        <sz val="10"/>
        <color theme="1"/>
        <rFont val="Noto Sans CJK SC"/>
        <family val="2"/>
      </rPr>
      <t xml:space="preserve">진행각 오차 </t>
    </r>
    <r>
      <rPr>
        <sz val="10"/>
        <color theme="1"/>
        <rFont val="Arial"/>
        <family val="2"/>
      </rPr>
      <t>0.8</t>
    </r>
    <r>
      <rPr>
        <sz val="10"/>
        <color theme="1"/>
        <rFont val="Noto Sans CJK SC"/>
        <family val="2"/>
      </rPr>
      <t>도</t>
    </r>
  </si>
  <si>
    <t>2026-08-17 15:29</t>
  </si>
  <si>
    <r>
      <rPr>
        <sz val="10"/>
        <color theme="1"/>
        <rFont val="Noto Sans CJK SC"/>
        <family val="2"/>
      </rPr>
      <t xml:space="preserve">위치 오차 </t>
    </r>
    <r>
      <rPr>
        <sz val="10"/>
        <color theme="1"/>
        <rFont val="Noto Sans"/>
        <family val="3"/>
        <charset val="129"/>
      </rPr>
      <t>4.6cm (</t>
    </r>
    <r>
      <rPr>
        <sz val="10"/>
        <color theme="1"/>
        <rFont val="Noto Sans CJK SC"/>
        <family val="2"/>
      </rPr>
      <t xml:space="preserve">목표 </t>
    </r>
    <r>
      <rPr>
        <sz val="10"/>
        <color theme="1"/>
        <rFont val="Noto Sans"/>
        <family val="3"/>
        <charset val="129"/>
      </rPr>
      <t xml:space="preserve">3cm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Noto Sans"/>
        <family val="3"/>
        <charset val="129"/>
      </rPr>
      <t>)</t>
    </r>
  </si>
  <si>
    <r>
      <rPr>
        <sz val="10"/>
        <color theme="1"/>
        <rFont val="Noto Sans"/>
        <family val="3"/>
        <charset val="129"/>
      </rPr>
      <t xml:space="preserve">AMCL/TF </t>
    </r>
    <r>
      <rPr>
        <sz val="10"/>
        <color theme="1"/>
        <rFont val="Noto Sans CJK SC"/>
        <family val="2"/>
      </rPr>
      <t>불안정</t>
    </r>
  </si>
  <si>
    <r>
      <rPr>
        <sz val="10"/>
        <color theme="1"/>
        <rFont val="Noto Sans"/>
        <family val="3"/>
        <charset val="129"/>
      </rPr>
      <t xml:space="preserve">AMCL </t>
    </r>
    <r>
      <rPr>
        <sz val="10"/>
        <color theme="1"/>
        <rFont val="Noto Sans CJK SC"/>
        <family val="2"/>
      </rPr>
      <t>초기 위치 추정 수렴 전 도착판정이 발생하여 오차 초과</t>
    </r>
  </si>
  <si>
    <r>
      <rPr>
        <sz val="9"/>
        <color rgb="FF777777"/>
        <rFont val="Arial"/>
        <family val="2"/>
      </rPr>
      <t xml:space="preserve">_check_crank_arrival / _check_s_course_arrival / on_nav_result </t>
    </r>
    <r>
      <rPr>
        <sz val="9"/>
        <color rgb="FF777777"/>
        <rFont val="Noto Sans CJK SC"/>
        <family val="2"/>
      </rPr>
      <t>도착판정</t>
    </r>
  </si>
  <si>
    <t>2026-07-27 11:10</t>
  </si>
  <si>
    <t>김예은</t>
  </si>
  <si>
    <r>
      <rPr>
        <sz val="10"/>
        <color theme="1"/>
        <rFont val="Noto Sans CJK SC"/>
        <family val="2"/>
      </rPr>
      <t xml:space="preserve">위치 오차 </t>
    </r>
    <r>
      <rPr>
        <sz val="10"/>
        <color theme="1"/>
        <rFont val="Arial"/>
        <family val="2"/>
      </rPr>
      <t>3.8cm (</t>
    </r>
    <r>
      <rPr>
        <sz val="10"/>
        <color theme="1"/>
        <rFont val="Noto Sans CJK SC"/>
        <family val="2"/>
      </rPr>
      <t xml:space="preserve">목표 </t>
    </r>
    <r>
      <rPr>
        <sz val="10"/>
        <color theme="1"/>
        <rFont val="Arial"/>
        <family val="2"/>
      </rPr>
      <t xml:space="preserve">3cm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</si>
  <si>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TF </t>
    </r>
    <r>
      <rPr>
        <sz val="10"/>
        <color theme="1"/>
        <rFont val="Noto Sans CJK SC"/>
        <family val="2"/>
      </rPr>
      <t>지연으로 도착판정 시점의 실제 위치와 계산 위치 간 편차 발생</t>
    </r>
  </si>
  <si>
    <t>2026-07-27 11:26</t>
  </si>
  <si>
    <r>
      <rPr>
        <sz val="10"/>
        <color theme="1"/>
        <rFont val="Noto Sans CJK SC"/>
        <family val="2"/>
      </rPr>
      <t xml:space="preserve">위치 오차 </t>
    </r>
    <r>
      <rPr>
        <sz val="10"/>
        <color theme="1"/>
        <rFont val="Arial"/>
        <family val="2"/>
      </rPr>
      <t>2.2cm (</t>
    </r>
    <r>
      <rPr>
        <sz val="10"/>
        <color theme="1"/>
        <rFont val="Noto Sans CJK SC"/>
        <family val="2"/>
      </rPr>
      <t xml:space="preserve">목표 </t>
    </r>
    <r>
      <rPr>
        <sz val="10"/>
        <color theme="1"/>
        <rFont val="Arial"/>
        <family val="2"/>
      </rPr>
      <t xml:space="preserve">3cm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>)</t>
    </r>
  </si>
  <si>
    <t>2026-07-27 11:48</t>
  </si>
  <si>
    <t>2026-07-27 12:21</t>
  </si>
  <si>
    <r>
      <rPr>
        <sz val="10"/>
        <color theme="1"/>
        <rFont val="Noto Sans CJK SC"/>
        <family val="2"/>
      </rPr>
      <t xml:space="preserve">위치 오차 </t>
    </r>
    <r>
      <rPr>
        <sz val="10"/>
        <color theme="1"/>
        <rFont val="Arial"/>
        <family val="2"/>
      </rPr>
      <t>1.6cm (</t>
    </r>
    <r>
      <rPr>
        <sz val="10"/>
        <color theme="1"/>
        <rFont val="Noto Sans CJK SC"/>
        <family val="2"/>
      </rPr>
      <t xml:space="preserve">목표 </t>
    </r>
    <r>
      <rPr>
        <sz val="10"/>
        <color theme="1"/>
        <rFont val="Arial"/>
        <family val="2"/>
      </rPr>
      <t xml:space="preserve">3cm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>)</t>
    </r>
  </si>
  <si>
    <t>2026-07-27 12:37</t>
  </si>
  <si>
    <r>
      <rPr>
        <sz val="10"/>
        <color theme="1"/>
        <rFont val="Noto Sans CJK SC"/>
        <family val="2"/>
      </rPr>
      <t xml:space="preserve">위치 오차 </t>
    </r>
    <r>
      <rPr>
        <sz val="10"/>
        <color theme="1"/>
        <rFont val="Arial"/>
        <family val="2"/>
      </rPr>
      <t>2.1cm (</t>
    </r>
    <r>
      <rPr>
        <sz val="10"/>
        <color theme="1"/>
        <rFont val="Noto Sans CJK SC"/>
        <family val="2"/>
      </rPr>
      <t xml:space="preserve">목표 </t>
    </r>
    <r>
      <rPr>
        <sz val="10"/>
        <color theme="1"/>
        <rFont val="Arial"/>
        <family val="2"/>
      </rPr>
      <t xml:space="preserve">3cm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>)</t>
    </r>
  </si>
  <si>
    <t>2026-07-27 13:22</t>
  </si>
  <si>
    <r>
      <rPr>
        <sz val="10"/>
        <color theme="1"/>
        <rFont val="Noto Sans CJK SC"/>
        <family val="2"/>
      </rPr>
      <t xml:space="preserve">위치 오차 </t>
    </r>
    <r>
      <rPr>
        <sz val="10"/>
        <color theme="1"/>
        <rFont val="Arial"/>
        <family val="2"/>
      </rPr>
      <t>1.7cm (</t>
    </r>
    <r>
      <rPr>
        <sz val="10"/>
        <color theme="1"/>
        <rFont val="Noto Sans CJK SC"/>
        <family val="2"/>
      </rPr>
      <t xml:space="preserve">목표 </t>
    </r>
    <r>
      <rPr>
        <sz val="10"/>
        <color theme="1"/>
        <rFont val="Arial"/>
        <family val="2"/>
      </rPr>
      <t xml:space="preserve">3cm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>)</t>
    </r>
  </si>
  <si>
    <t>2026-07-27 13:36</t>
  </si>
  <si>
    <r>
      <rPr>
        <sz val="10"/>
        <color theme="1"/>
        <rFont val="Noto Sans CJK SC"/>
        <family val="2"/>
      </rPr>
      <t xml:space="preserve">위치 오차 </t>
    </r>
    <r>
      <rPr>
        <sz val="10"/>
        <color theme="1"/>
        <rFont val="Arial"/>
        <family val="2"/>
      </rPr>
      <t>1.0cm (</t>
    </r>
    <r>
      <rPr>
        <sz val="10"/>
        <color theme="1"/>
        <rFont val="Noto Sans CJK SC"/>
        <family val="2"/>
      </rPr>
      <t xml:space="preserve">목표 </t>
    </r>
    <r>
      <rPr>
        <sz val="10"/>
        <color theme="1"/>
        <rFont val="Arial"/>
        <family val="2"/>
      </rPr>
      <t xml:space="preserve">3cm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>)</t>
    </r>
  </si>
  <si>
    <t>2026-07-27 13:49</t>
  </si>
  <si>
    <r>
      <rPr>
        <sz val="10"/>
        <color theme="1"/>
        <rFont val="Noto Sans CJK SC"/>
        <family val="2"/>
      </rPr>
      <t xml:space="preserve">위치 오차 </t>
    </r>
    <r>
      <rPr>
        <sz val="10"/>
        <color theme="1"/>
        <rFont val="Arial"/>
        <family val="2"/>
      </rPr>
      <t>2.7cm (</t>
    </r>
    <r>
      <rPr>
        <sz val="10"/>
        <color theme="1"/>
        <rFont val="Noto Sans CJK SC"/>
        <family val="2"/>
      </rPr>
      <t xml:space="preserve">목표 </t>
    </r>
    <r>
      <rPr>
        <sz val="10"/>
        <color theme="1"/>
        <rFont val="Arial"/>
        <family val="2"/>
      </rPr>
      <t xml:space="preserve">3cm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>)</t>
    </r>
  </si>
  <si>
    <t>2026-07-27 14:12</t>
  </si>
  <si>
    <r>
      <rPr>
        <sz val="10"/>
        <color theme="1"/>
        <rFont val="Noto Sans CJK SC"/>
        <family val="2"/>
      </rPr>
      <t xml:space="preserve">위치 오차 </t>
    </r>
    <r>
      <rPr>
        <sz val="10"/>
        <color theme="1"/>
        <rFont val="Arial"/>
        <family val="2"/>
      </rPr>
      <t>1.3cm (</t>
    </r>
    <r>
      <rPr>
        <sz val="10"/>
        <color theme="1"/>
        <rFont val="Noto Sans CJK SC"/>
        <family val="2"/>
      </rPr>
      <t xml:space="preserve">목표 </t>
    </r>
    <r>
      <rPr>
        <sz val="10"/>
        <color theme="1"/>
        <rFont val="Arial"/>
        <family val="2"/>
      </rPr>
      <t xml:space="preserve">3cm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>)</t>
    </r>
  </si>
  <si>
    <t>2026-07-27 14:53</t>
  </si>
  <si>
    <r>
      <rPr>
        <sz val="10"/>
        <color theme="1"/>
        <rFont val="Noto Sans CJK SC"/>
        <family val="2"/>
      </rPr>
      <t>좌측 벽면 접촉</t>
    </r>
    <r>
      <rPr>
        <sz val="10"/>
        <color theme="1"/>
        <rFont val="Noto Sans"/>
        <family val="3"/>
        <charset val="129"/>
      </rPr>
      <t>(</t>
    </r>
    <r>
      <rPr>
        <sz val="10"/>
        <color theme="1"/>
        <rFont val="Noto Sans CJK SC"/>
        <family val="2"/>
      </rPr>
      <t xml:space="preserve">여유폭 </t>
    </r>
    <r>
      <rPr>
        <sz val="10"/>
        <color theme="1"/>
        <rFont val="Noto Sans"/>
        <family val="3"/>
        <charset val="129"/>
      </rPr>
      <t>-0.5cm)</t>
    </r>
  </si>
  <si>
    <r>
      <rPr>
        <sz val="10"/>
        <color theme="1"/>
        <rFont val="Noto Sans"/>
        <family val="3"/>
        <charset val="129"/>
      </rPr>
      <t xml:space="preserve">costmap inflation_radius </t>
    </r>
    <r>
      <rPr>
        <sz val="10"/>
        <color theme="1"/>
        <rFont val="Noto Sans CJK SC"/>
        <family val="2"/>
      </rPr>
      <t>기본값 상태에서 통로 폭 대비 팽창 영역 과다</t>
    </r>
    <r>
      <rPr>
        <sz val="10"/>
        <color theme="1"/>
        <rFont val="Noto Sans"/>
        <family val="3"/>
        <charset val="129"/>
      </rPr>
      <t xml:space="preserve">, </t>
    </r>
    <r>
      <rPr>
        <sz val="10"/>
        <color theme="1"/>
        <rFont val="Noto Sans CJK SC"/>
        <family val="2"/>
      </rPr>
      <t>튜닝 전 시험</t>
    </r>
  </si>
  <si>
    <r>
      <rPr>
        <sz val="9"/>
        <color rgb="FF777777"/>
        <rFont val="Arial"/>
        <family val="2"/>
      </rPr>
      <t xml:space="preserve">set_inflation_radius_pair / costmap inflation_radius </t>
    </r>
    <r>
      <rPr>
        <sz val="9"/>
        <color rgb="FF777777"/>
        <rFont val="Noto Sans CJK SC"/>
        <family val="2"/>
      </rPr>
      <t>파라미터</t>
    </r>
  </si>
  <si>
    <t>2026-07-28 10:20</t>
  </si>
  <si>
    <r>
      <rPr>
        <sz val="10"/>
        <color theme="1"/>
        <rFont val="Noto Sans CJK SC"/>
        <family val="2"/>
      </rPr>
      <t>충돌 없이 통과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최소 여유폭 </t>
    </r>
    <r>
      <rPr>
        <sz val="10"/>
        <color theme="1"/>
        <rFont val="Arial"/>
        <family val="2"/>
      </rPr>
      <t>3.2cm</t>
    </r>
  </si>
  <si>
    <t>2026-07-28 10:59</t>
  </si>
  <si>
    <r>
      <rPr>
        <sz val="10"/>
        <color theme="1"/>
        <rFont val="Noto Sans CJK SC"/>
        <family val="2"/>
      </rPr>
      <t>충돌 없이 통과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최소 여유폭 </t>
    </r>
    <r>
      <rPr>
        <sz val="10"/>
        <color theme="1"/>
        <rFont val="Arial"/>
        <family val="2"/>
      </rPr>
      <t>3.8cm</t>
    </r>
  </si>
  <si>
    <t>2026-07-28 11:38</t>
  </si>
  <si>
    <r>
      <rPr>
        <sz val="10"/>
        <color theme="1"/>
        <rFont val="Noto Sans CJK SC"/>
        <family val="2"/>
      </rPr>
      <t>충돌 없이 통과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최소 여유폭 </t>
    </r>
    <r>
      <rPr>
        <sz val="10"/>
        <color theme="1"/>
        <rFont val="Arial"/>
        <family val="2"/>
      </rPr>
      <t>3.4cm</t>
    </r>
  </si>
  <si>
    <t>2026-07-28 12:11</t>
  </si>
  <si>
    <r>
      <rPr>
        <sz val="10"/>
        <color theme="1"/>
        <rFont val="Noto Sans CJK SC"/>
        <family val="2"/>
      </rPr>
      <t>충돌 없이 통과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최소 여유폭 </t>
    </r>
    <r>
      <rPr>
        <sz val="10"/>
        <color theme="1"/>
        <rFont val="Arial"/>
        <family val="2"/>
      </rPr>
      <t>2.2cm</t>
    </r>
  </si>
  <si>
    <t>2026-07-28 12:40</t>
  </si>
  <si>
    <r>
      <rPr>
        <sz val="10"/>
        <color theme="1"/>
        <rFont val="Noto Sans"/>
        <family val="3"/>
        <charset val="129"/>
      </rPr>
      <t xml:space="preserve">GREEN_LOWER/HIGHER HSV </t>
    </r>
    <r>
      <rPr>
        <sz val="10"/>
        <color theme="1"/>
        <rFont val="Noto Sans CJK SC"/>
        <family val="2"/>
      </rPr>
      <t>임계값이 좁게 설정되어 조명 변화 시 인식 지연 발생</t>
    </r>
  </si>
  <si>
    <t>_process_signal / detect_signal_color(GREEN_LOWER/HIGHER) / _after_signal_wait_result</t>
  </si>
  <si>
    <t>2026-07-30 09:50</t>
  </si>
  <si>
    <t>2026-07-30 10:15</t>
  </si>
  <si>
    <r>
      <rPr>
        <sz val="10"/>
        <color theme="1"/>
        <rFont val="Noto Sans CJK SC"/>
        <family val="2"/>
      </rPr>
      <t xml:space="preserve">초록 신호 </t>
    </r>
    <r>
      <rPr>
        <sz val="10"/>
        <color theme="1"/>
        <rFont val="Arial"/>
        <family val="2"/>
      </rPr>
      <t>3/3</t>
    </r>
    <r>
      <rPr>
        <sz val="10"/>
        <color theme="1"/>
        <rFont val="Noto Sans CJK SC"/>
        <family val="2"/>
      </rPr>
      <t>프레임 연속 인식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재출발까지 </t>
    </r>
    <r>
      <rPr>
        <sz val="10"/>
        <color theme="1"/>
        <rFont val="Arial"/>
        <family val="2"/>
      </rPr>
      <t xml:space="preserve">1.4s (5s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>)</t>
    </r>
  </si>
  <si>
    <t>2026-07-30 10:30</t>
  </si>
  <si>
    <r>
      <rPr>
        <sz val="10"/>
        <color theme="1"/>
        <rFont val="Noto Sans CJK SC"/>
        <family val="2"/>
      </rPr>
      <t xml:space="preserve">초록 신호 </t>
    </r>
    <r>
      <rPr>
        <sz val="10"/>
        <color theme="1"/>
        <rFont val="Arial"/>
        <family val="2"/>
      </rPr>
      <t>3/3</t>
    </r>
    <r>
      <rPr>
        <sz val="10"/>
        <color theme="1"/>
        <rFont val="Noto Sans CJK SC"/>
        <family val="2"/>
      </rPr>
      <t>프레임 연속 인식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재출발까지 </t>
    </r>
    <r>
      <rPr>
        <sz val="10"/>
        <color theme="1"/>
        <rFont val="Arial"/>
        <family val="2"/>
      </rPr>
      <t xml:space="preserve">3.4s (5s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>)</t>
    </r>
  </si>
  <si>
    <t>2026-07-30 10:59</t>
  </si>
  <si>
    <r>
      <rPr>
        <sz val="10"/>
        <color theme="1"/>
        <rFont val="Noto Sans CJK SC"/>
        <family val="2"/>
      </rPr>
      <t xml:space="preserve">초록 신호 </t>
    </r>
    <r>
      <rPr>
        <sz val="10"/>
        <color theme="1"/>
        <rFont val="Arial"/>
        <family val="2"/>
      </rPr>
      <t>3/3</t>
    </r>
    <r>
      <rPr>
        <sz val="10"/>
        <color theme="1"/>
        <rFont val="Noto Sans CJK SC"/>
        <family val="2"/>
      </rPr>
      <t>프레임 연속 인식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재출발까지 </t>
    </r>
    <r>
      <rPr>
        <sz val="10"/>
        <color theme="1"/>
        <rFont val="Arial"/>
        <family val="2"/>
      </rPr>
      <t xml:space="preserve">2.5s (5s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>)</t>
    </r>
  </si>
  <si>
    <t>2026-07-30 11:42</t>
  </si>
  <si>
    <r>
      <rPr>
        <sz val="10"/>
        <color theme="1"/>
        <rFont val="Noto Sans"/>
        <family val="3"/>
        <charset val="129"/>
      </rPr>
      <t xml:space="preserve">0.18m/s </t>
    </r>
    <r>
      <rPr>
        <sz val="10"/>
        <color theme="1"/>
        <rFont val="Noto Sans CJK SC"/>
        <family val="2"/>
      </rPr>
      <t xml:space="preserve">이상 유지시간 </t>
    </r>
    <r>
      <rPr>
        <sz val="10"/>
        <color theme="1"/>
        <rFont val="Noto Sans"/>
        <family val="3"/>
        <charset val="129"/>
      </rPr>
      <t>0.3s (</t>
    </r>
    <r>
      <rPr>
        <sz val="10"/>
        <color theme="1"/>
        <rFont val="Noto Sans CJK SC"/>
        <family val="2"/>
      </rPr>
      <t xml:space="preserve">목표 </t>
    </r>
    <r>
      <rPr>
        <sz val="10"/>
        <color theme="1"/>
        <rFont val="Noto Sans"/>
        <family val="3"/>
        <charset val="129"/>
      </rPr>
      <t xml:space="preserve">0.5s </t>
    </r>
    <r>
      <rPr>
        <sz val="10"/>
        <color theme="1"/>
        <rFont val="Noto Sans CJK SC"/>
        <family val="2"/>
      </rPr>
      <t>이상</t>
    </r>
    <r>
      <rPr>
        <sz val="10"/>
        <color theme="1"/>
        <rFont val="Noto Sans"/>
        <family val="3"/>
        <charset val="129"/>
      </rPr>
      <t>)</t>
    </r>
  </si>
  <si>
    <t>가속 명령 발행 후 실제 속도 도달까지 지연되어 유지시간 미달</t>
  </si>
  <si>
    <t>_process_speed_sign / detect_speed_sign(BLUE_LOWER/HIGHER) / accel_zone_check_loop</t>
  </si>
  <si>
    <t>2026-07-30 14:50</t>
  </si>
  <si>
    <r>
      <rPr>
        <sz val="10"/>
        <color theme="1"/>
        <rFont val="Noto Sans CJK SC"/>
        <family val="2"/>
      </rPr>
      <t xml:space="preserve">최고속도 </t>
    </r>
    <r>
      <rPr>
        <sz val="10"/>
        <color theme="1"/>
        <rFont val="Arial"/>
        <family val="2"/>
      </rPr>
      <t xml:space="preserve">0.21m/s, 0.18m/s </t>
    </r>
    <r>
      <rPr>
        <sz val="10"/>
        <color theme="1"/>
        <rFont val="Noto Sans CJK SC"/>
        <family val="2"/>
      </rPr>
      <t xml:space="preserve">이상 유지시간 </t>
    </r>
    <r>
      <rPr>
        <sz val="10"/>
        <color theme="1"/>
        <rFont val="Arial"/>
        <family val="2"/>
      </rPr>
      <t>0.7s (</t>
    </r>
    <r>
      <rPr>
        <sz val="10"/>
        <color theme="1"/>
        <rFont val="Noto Sans CJK SC"/>
        <family val="2"/>
      </rPr>
      <t xml:space="preserve">목표 </t>
    </r>
    <r>
      <rPr>
        <sz val="10"/>
        <color theme="1"/>
        <rFont val="Arial"/>
        <family val="2"/>
      </rPr>
      <t xml:space="preserve">0.5s </t>
    </r>
    <r>
      <rPr>
        <sz val="10"/>
        <color theme="1"/>
        <rFont val="Noto Sans CJK SC"/>
        <family val="2"/>
      </rPr>
      <t>이상</t>
    </r>
    <r>
      <rPr>
        <sz val="10"/>
        <color theme="1"/>
        <rFont val="Arial"/>
        <family val="2"/>
      </rPr>
      <t>)</t>
    </r>
  </si>
  <si>
    <t>2026-07-30 15:28</t>
  </si>
  <si>
    <r>
      <rPr>
        <sz val="10"/>
        <color theme="1"/>
        <rFont val="Noto Sans CJK SC"/>
        <family val="2"/>
      </rPr>
      <t xml:space="preserve">최고속도 </t>
    </r>
    <r>
      <rPr>
        <sz val="10"/>
        <color theme="1"/>
        <rFont val="Arial"/>
        <family val="2"/>
      </rPr>
      <t xml:space="preserve">0.19m/s, 0.18m/s </t>
    </r>
    <r>
      <rPr>
        <sz val="10"/>
        <color theme="1"/>
        <rFont val="Noto Sans CJK SC"/>
        <family val="2"/>
      </rPr>
      <t xml:space="preserve">이상 유지시간 </t>
    </r>
    <r>
      <rPr>
        <sz val="10"/>
        <color theme="1"/>
        <rFont val="Arial"/>
        <family val="2"/>
      </rPr>
      <t>0.9s (</t>
    </r>
    <r>
      <rPr>
        <sz val="10"/>
        <color theme="1"/>
        <rFont val="Noto Sans CJK SC"/>
        <family val="2"/>
      </rPr>
      <t xml:space="preserve">목표 </t>
    </r>
    <r>
      <rPr>
        <sz val="10"/>
        <color theme="1"/>
        <rFont val="Arial"/>
        <family val="2"/>
      </rPr>
      <t xml:space="preserve">0.5s </t>
    </r>
    <r>
      <rPr>
        <sz val="10"/>
        <color theme="1"/>
        <rFont val="Noto Sans CJK SC"/>
        <family val="2"/>
      </rPr>
      <t>이상</t>
    </r>
    <r>
      <rPr>
        <sz val="10"/>
        <color theme="1"/>
        <rFont val="Arial"/>
        <family val="2"/>
      </rPr>
      <t>)</t>
    </r>
  </si>
  <si>
    <t>2026-07-30 15:56</t>
  </si>
  <si>
    <r>
      <rPr>
        <sz val="10"/>
        <color theme="1"/>
        <rFont val="Noto Sans CJK SC"/>
        <family val="2"/>
      </rPr>
      <t xml:space="preserve">최고속도 </t>
    </r>
    <r>
      <rPr>
        <sz val="10"/>
        <color theme="1"/>
        <rFont val="Arial"/>
        <family val="2"/>
      </rPr>
      <t xml:space="preserve">0.2m/s, 0.18m/s </t>
    </r>
    <r>
      <rPr>
        <sz val="10"/>
        <color theme="1"/>
        <rFont val="Noto Sans CJK SC"/>
        <family val="2"/>
      </rPr>
      <t xml:space="preserve">이상 유지시간 </t>
    </r>
    <r>
      <rPr>
        <sz val="10"/>
        <color theme="1"/>
        <rFont val="Arial"/>
        <family val="2"/>
      </rPr>
      <t>0.9s (</t>
    </r>
    <r>
      <rPr>
        <sz val="10"/>
        <color theme="1"/>
        <rFont val="Noto Sans CJK SC"/>
        <family val="2"/>
      </rPr>
      <t xml:space="preserve">목표 </t>
    </r>
    <r>
      <rPr>
        <sz val="10"/>
        <color theme="1"/>
        <rFont val="Arial"/>
        <family val="2"/>
      </rPr>
      <t xml:space="preserve">0.5s </t>
    </r>
    <r>
      <rPr>
        <sz val="10"/>
        <color theme="1"/>
        <rFont val="Noto Sans CJK SC"/>
        <family val="2"/>
      </rPr>
      <t>이상</t>
    </r>
    <r>
      <rPr>
        <sz val="10"/>
        <color theme="1"/>
        <rFont val="Arial"/>
        <family val="2"/>
      </rPr>
      <t>)</t>
    </r>
  </si>
  <si>
    <t>2026-07-30 16:10</t>
  </si>
  <si>
    <r>
      <rPr>
        <sz val="10"/>
        <color theme="1"/>
        <rFont val="Noto Sans CJK SC"/>
        <family val="2"/>
      </rPr>
      <t xml:space="preserve">최고속도 </t>
    </r>
    <r>
      <rPr>
        <sz val="10"/>
        <color theme="1"/>
        <rFont val="Arial"/>
        <family val="2"/>
      </rPr>
      <t xml:space="preserve">0.2m/s, 0.18m/s </t>
    </r>
    <r>
      <rPr>
        <sz val="10"/>
        <color theme="1"/>
        <rFont val="Noto Sans CJK SC"/>
        <family val="2"/>
      </rPr>
      <t xml:space="preserve">이상 유지시간 </t>
    </r>
    <r>
      <rPr>
        <sz val="10"/>
        <color theme="1"/>
        <rFont val="Arial"/>
        <family val="2"/>
      </rPr>
      <t>1.1s (</t>
    </r>
    <r>
      <rPr>
        <sz val="10"/>
        <color theme="1"/>
        <rFont val="Noto Sans CJK SC"/>
        <family val="2"/>
      </rPr>
      <t xml:space="preserve">목표 </t>
    </r>
    <r>
      <rPr>
        <sz val="10"/>
        <color theme="1"/>
        <rFont val="Arial"/>
        <family val="2"/>
      </rPr>
      <t xml:space="preserve">0.5s </t>
    </r>
    <r>
      <rPr>
        <sz val="10"/>
        <color theme="1"/>
        <rFont val="Noto Sans CJK SC"/>
        <family val="2"/>
      </rPr>
      <t>이상</t>
    </r>
    <r>
      <rPr>
        <sz val="10"/>
        <color theme="1"/>
        <rFont val="Arial"/>
        <family val="2"/>
      </rPr>
      <t>)</t>
    </r>
  </si>
  <si>
    <t>2026-07-30 16:27</t>
  </si>
  <si>
    <t>on_obstacle_distance(OBSTACLE_STOP_DISTANCE_CM) / _start_obstacle_response</t>
  </si>
  <si>
    <t>2026-08-06 10:10</t>
  </si>
  <si>
    <t>2026-08-06 10:41</t>
  </si>
  <si>
    <t>2026-08-06 11:00</t>
  </si>
  <si>
    <t>2026-08-06 11:41</t>
  </si>
  <si>
    <t>2026-08-06 12:17</t>
  </si>
  <si>
    <t>2026-08-06 12:29</t>
  </si>
  <si>
    <t>2026-08-06 12:43</t>
  </si>
  <si>
    <t>2026-08-06 13:28</t>
  </si>
  <si>
    <t>2026-08-06 13:58</t>
  </si>
  <si>
    <t>2026-08-06 14:29</t>
  </si>
  <si>
    <r>
      <rPr>
        <sz val="10"/>
        <color theme="1"/>
        <rFont val="Noto Sans CJK SC"/>
        <family val="2"/>
      </rPr>
      <t xml:space="preserve">마커 일부 가림으로 </t>
    </r>
    <r>
      <rPr>
        <sz val="10"/>
        <color theme="1"/>
        <rFont val="Noto Sans"/>
        <family val="3"/>
        <charset val="129"/>
      </rPr>
      <t xml:space="preserve">ID </t>
    </r>
    <r>
      <rPr>
        <sz val="10"/>
        <color theme="1"/>
        <rFont val="Noto Sans CJK SC"/>
        <family val="2"/>
      </rPr>
      <t>인식 실패</t>
    </r>
  </si>
  <si>
    <t>조도 저하 및 마커 각도 편차로 코너 검출 실패</t>
  </si>
  <si>
    <t>_process_aruco / _select_marker_index / _make_observation</t>
  </si>
  <si>
    <t>2026-08-17 11:30</t>
  </si>
  <si>
    <r>
      <rPr>
        <sz val="10"/>
        <color theme="1"/>
        <rFont val="Noto Sans CJK SC"/>
        <family val="2"/>
      </rPr>
      <t xml:space="preserve">마커 </t>
    </r>
    <r>
      <rPr>
        <sz val="10"/>
        <color theme="1"/>
        <rFont val="Arial"/>
        <family val="2"/>
      </rPr>
      <t xml:space="preserve">ID </t>
    </r>
    <r>
      <rPr>
        <sz val="10"/>
        <color theme="1"/>
        <rFont val="Noto Sans CJK SC"/>
        <family val="2"/>
      </rPr>
      <t>인식 성공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인식 소요 </t>
    </r>
    <r>
      <rPr>
        <sz val="10"/>
        <color theme="1"/>
        <rFont val="Arial"/>
        <family val="2"/>
      </rPr>
      <t>1.5s</t>
    </r>
  </si>
  <si>
    <t>2026-08-17 12:09</t>
  </si>
  <si>
    <r>
      <rPr>
        <sz val="10"/>
        <color theme="1"/>
        <rFont val="Noto Sans CJK SC"/>
        <family val="2"/>
      </rPr>
      <t xml:space="preserve">마커 </t>
    </r>
    <r>
      <rPr>
        <sz val="10"/>
        <color theme="1"/>
        <rFont val="Arial"/>
        <family val="2"/>
      </rPr>
      <t xml:space="preserve">ID </t>
    </r>
    <r>
      <rPr>
        <sz val="10"/>
        <color theme="1"/>
        <rFont val="Noto Sans CJK SC"/>
        <family val="2"/>
      </rPr>
      <t>인식 성공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인식 소요 </t>
    </r>
    <r>
      <rPr>
        <sz val="10"/>
        <color theme="1"/>
        <rFont val="Arial"/>
        <family val="2"/>
      </rPr>
      <t>1.2s</t>
    </r>
  </si>
  <si>
    <t>2026-08-17 12:23</t>
  </si>
  <si>
    <r>
      <rPr>
        <sz val="10"/>
        <color theme="1"/>
        <rFont val="Noto Sans CJK SC"/>
        <family val="2"/>
      </rPr>
      <t xml:space="preserve">마커 </t>
    </r>
    <r>
      <rPr>
        <sz val="10"/>
        <color theme="1"/>
        <rFont val="Arial"/>
        <family val="2"/>
      </rPr>
      <t xml:space="preserve">ID </t>
    </r>
    <r>
      <rPr>
        <sz val="10"/>
        <color theme="1"/>
        <rFont val="Noto Sans CJK SC"/>
        <family val="2"/>
      </rPr>
      <t>인식 성공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인식 소요 </t>
    </r>
    <r>
      <rPr>
        <sz val="10"/>
        <color theme="1"/>
        <rFont val="Arial"/>
        <family val="2"/>
      </rPr>
      <t>0.9s</t>
    </r>
  </si>
  <si>
    <t>2026-08-17 12:38</t>
  </si>
  <si>
    <r>
      <rPr>
        <sz val="10"/>
        <color theme="1"/>
        <rFont val="Noto Sans CJK SC"/>
        <family val="2"/>
      </rPr>
      <t xml:space="preserve">마커 </t>
    </r>
    <r>
      <rPr>
        <sz val="10"/>
        <color theme="1"/>
        <rFont val="Arial"/>
        <family val="2"/>
      </rPr>
      <t xml:space="preserve">ID </t>
    </r>
    <r>
      <rPr>
        <sz val="10"/>
        <color theme="1"/>
        <rFont val="Noto Sans CJK SC"/>
        <family val="2"/>
      </rPr>
      <t>인식 성공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인식 소요 </t>
    </r>
    <r>
      <rPr>
        <sz val="10"/>
        <color theme="1"/>
        <rFont val="Arial"/>
        <family val="2"/>
      </rPr>
      <t>0.5s</t>
    </r>
  </si>
  <si>
    <t>2026-08-17 13:05</t>
  </si>
  <si>
    <t>2026-08-17 13:45</t>
  </si>
  <si>
    <r>
      <rPr>
        <sz val="10"/>
        <color theme="1"/>
        <rFont val="Noto Sans CJK SC"/>
        <family val="2"/>
      </rPr>
      <t xml:space="preserve">마커 </t>
    </r>
    <r>
      <rPr>
        <sz val="10"/>
        <color theme="1"/>
        <rFont val="Arial"/>
        <family val="2"/>
      </rPr>
      <t xml:space="preserve">ID </t>
    </r>
    <r>
      <rPr>
        <sz val="10"/>
        <color theme="1"/>
        <rFont val="Noto Sans CJK SC"/>
        <family val="2"/>
      </rPr>
      <t>인식 성공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인식 소요 </t>
    </r>
    <r>
      <rPr>
        <sz val="10"/>
        <color theme="1"/>
        <rFont val="Arial"/>
        <family val="2"/>
      </rPr>
      <t>0.7s</t>
    </r>
  </si>
  <si>
    <t>2026-08-17 13:59</t>
  </si>
  <si>
    <r>
      <rPr>
        <sz val="10"/>
        <color theme="1"/>
        <rFont val="Noto Sans CJK SC"/>
        <family val="2"/>
      </rPr>
      <t xml:space="preserve">마커 </t>
    </r>
    <r>
      <rPr>
        <sz val="10"/>
        <color theme="1"/>
        <rFont val="Arial"/>
        <family val="2"/>
      </rPr>
      <t xml:space="preserve">ID </t>
    </r>
    <r>
      <rPr>
        <sz val="10"/>
        <color theme="1"/>
        <rFont val="Noto Sans CJK SC"/>
        <family val="2"/>
      </rPr>
      <t>인식 성공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인식 소요 </t>
    </r>
    <r>
      <rPr>
        <sz val="10"/>
        <color theme="1"/>
        <rFont val="Arial"/>
        <family val="2"/>
      </rPr>
      <t>1.3s</t>
    </r>
  </si>
  <si>
    <t>2026-08-17 14:12</t>
  </si>
  <si>
    <t>2026-08-17 14:41</t>
  </si>
  <si>
    <t>2026-08-17 15:19</t>
  </si>
  <si>
    <r>
      <rPr>
        <sz val="10"/>
        <color theme="1"/>
        <rFont val="Noto Sans"/>
        <family val="3"/>
        <charset val="129"/>
      </rPr>
      <t>3</t>
    </r>
    <r>
      <rPr>
        <sz val="10"/>
        <color theme="1"/>
        <rFont val="Noto Sans CJK SC"/>
        <family val="2"/>
      </rPr>
      <t>회 재탐색 후에도 정렬 실패</t>
    </r>
    <r>
      <rPr>
        <sz val="10"/>
        <color theme="1"/>
        <rFont val="Noto Sans"/>
        <family val="3"/>
        <charset val="129"/>
      </rPr>
      <t>(</t>
    </r>
    <r>
      <rPr>
        <sz val="10"/>
        <color theme="1"/>
        <rFont val="Noto Sans CJK SC"/>
        <family val="2"/>
      </rPr>
      <t xml:space="preserve">좌우오차 </t>
    </r>
    <r>
      <rPr>
        <sz val="10"/>
        <color theme="1"/>
        <rFont val="Noto Sans"/>
        <family val="3"/>
        <charset val="129"/>
      </rPr>
      <t>6.1cm)</t>
    </r>
  </si>
  <si>
    <r>
      <rPr>
        <sz val="10"/>
        <color theme="1"/>
        <rFont val="Noto Sans CJK SC"/>
        <family val="2"/>
      </rPr>
      <t>최종 접근 단계에서 마커 반복 이탈</t>
    </r>
    <r>
      <rPr>
        <sz val="10"/>
        <color theme="1"/>
        <rFont val="Noto Sans"/>
        <family val="3"/>
        <charset val="129"/>
      </rPr>
      <t xml:space="preserve">, </t>
    </r>
    <r>
      <rPr>
        <sz val="10"/>
        <color theme="1"/>
        <rFont val="Noto Sans CJK SC"/>
        <family val="2"/>
      </rPr>
      <t>저속 재탐색 로직 적용 전</t>
    </r>
  </si>
  <si>
    <t>parking_control_loop / _handle_parking_* / _on_parking_done</t>
  </si>
  <si>
    <t>2026-08-17 15:30</t>
  </si>
  <si>
    <r>
      <rPr>
        <sz val="10"/>
        <color theme="1"/>
        <rFont val="Noto Sans CJK SC"/>
        <family val="2"/>
      </rPr>
      <t xml:space="preserve">좌우오차 </t>
    </r>
    <r>
      <rPr>
        <sz val="10"/>
        <color theme="1"/>
        <rFont val="Arial"/>
        <family val="2"/>
      </rPr>
      <t xml:space="preserve">2.9cm, </t>
    </r>
    <r>
      <rPr>
        <sz val="10"/>
        <color theme="1"/>
        <rFont val="Noto Sans CJK SC"/>
        <family val="2"/>
      </rPr>
      <t xml:space="preserve">거리오차 </t>
    </r>
    <r>
      <rPr>
        <sz val="10"/>
        <color theme="1"/>
        <rFont val="Arial"/>
        <family val="2"/>
      </rPr>
      <t>0.8cm (</t>
    </r>
    <r>
      <rPr>
        <sz val="10"/>
        <color theme="1"/>
        <rFont val="Noto Sans CJK SC"/>
        <family val="2"/>
      </rPr>
      <t xml:space="preserve">기준 좌우 </t>
    </r>
    <r>
      <rPr>
        <sz val="10"/>
        <color theme="1"/>
        <rFont val="Arial"/>
        <family val="2"/>
      </rPr>
      <t>3.5cm/</t>
    </r>
    <r>
      <rPr>
        <sz val="10"/>
        <color theme="1"/>
        <rFont val="Noto Sans CJK SC"/>
        <family val="2"/>
      </rPr>
      <t xml:space="preserve">거리 </t>
    </r>
    <r>
      <rPr>
        <sz val="10"/>
        <color theme="1"/>
        <rFont val="Arial"/>
        <family val="2"/>
      </rPr>
      <t xml:space="preserve">5cm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>)</t>
    </r>
  </si>
  <si>
    <t>2026-08-17 16:02</t>
  </si>
  <si>
    <r>
      <rPr>
        <sz val="10"/>
        <color theme="1"/>
        <rFont val="Noto Sans CJK SC"/>
        <family val="2"/>
      </rPr>
      <t xml:space="preserve">좌우오차 </t>
    </r>
    <r>
      <rPr>
        <sz val="10"/>
        <color theme="1"/>
        <rFont val="Arial"/>
        <family val="2"/>
      </rPr>
      <t xml:space="preserve">0.8cm, </t>
    </r>
    <r>
      <rPr>
        <sz val="10"/>
        <color theme="1"/>
        <rFont val="Noto Sans CJK SC"/>
        <family val="2"/>
      </rPr>
      <t xml:space="preserve">거리오차 </t>
    </r>
    <r>
      <rPr>
        <sz val="10"/>
        <color theme="1"/>
        <rFont val="Arial"/>
        <family val="2"/>
      </rPr>
      <t>2.4cm (</t>
    </r>
    <r>
      <rPr>
        <sz val="10"/>
        <color theme="1"/>
        <rFont val="Noto Sans CJK SC"/>
        <family val="2"/>
      </rPr>
      <t xml:space="preserve">기준 좌우 </t>
    </r>
    <r>
      <rPr>
        <sz val="10"/>
        <color theme="1"/>
        <rFont val="Arial"/>
        <family val="2"/>
      </rPr>
      <t>3.5cm/</t>
    </r>
    <r>
      <rPr>
        <sz val="10"/>
        <color theme="1"/>
        <rFont val="Noto Sans CJK SC"/>
        <family val="2"/>
      </rPr>
      <t xml:space="preserve">거리 </t>
    </r>
    <r>
      <rPr>
        <sz val="10"/>
        <color theme="1"/>
        <rFont val="Arial"/>
        <family val="2"/>
      </rPr>
      <t xml:space="preserve">5cm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>)</t>
    </r>
  </si>
  <si>
    <t>2026-08-17 16:13</t>
  </si>
  <si>
    <r>
      <rPr>
        <sz val="10"/>
        <color theme="1"/>
        <rFont val="Noto Sans CJK SC"/>
        <family val="2"/>
      </rPr>
      <t xml:space="preserve">좌우오차 </t>
    </r>
    <r>
      <rPr>
        <sz val="10"/>
        <color theme="1"/>
        <rFont val="Arial"/>
        <family val="2"/>
      </rPr>
      <t xml:space="preserve">1.3cm, </t>
    </r>
    <r>
      <rPr>
        <sz val="10"/>
        <color theme="1"/>
        <rFont val="Noto Sans CJK SC"/>
        <family val="2"/>
      </rPr>
      <t xml:space="preserve">거리오차 </t>
    </r>
    <r>
      <rPr>
        <sz val="10"/>
        <color theme="1"/>
        <rFont val="Arial"/>
        <family val="2"/>
      </rPr>
      <t>2.4cm (</t>
    </r>
    <r>
      <rPr>
        <sz val="10"/>
        <color theme="1"/>
        <rFont val="Noto Sans CJK SC"/>
        <family val="2"/>
      </rPr>
      <t xml:space="preserve">기준 좌우 </t>
    </r>
    <r>
      <rPr>
        <sz val="10"/>
        <color theme="1"/>
        <rFont val="Arial"/>
        <family val="2"/>
      </rPr>
      <t>3.5cm/</t>
    </r>
    <r>
      <rPr>
        <sz val="10"/>
        <color theme="1"/>
        <rFont val="Noto Sans CJK SC"/>
        <family val="2"/>
      </rPr>
      <t xml:space="preserve">거리 </t>
    </r>
    <r>
      <rPr>
        <sz val="10"/>
        <color theme="1"/>
        <rFont val="Arial"/>
        <family val="2"/>
      </rPr>
      <t xml:space="preserve">5cm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>)</t>
    </r>
  </si>
  <si>
    <t>2026-08-17 16:52</t>
  </si>
  <si>
    <r>
      <rPr>
        <sz val="10"/>
        <color theme="1"/>
        <rFont val="Noto Sans CJK SC"/>
        <family val="2"/>
      </rPr>
      <t xml:space="preserve">좌우오차 </t>
    </r>
    <r>
      <rPr>
        <sz val="10"/>
        <color theme="1"/>
        <rFont val="Arial"/>
        <family val="2"/>
      </rPr>
      <t xml:space="preserve">3.0cm, </t>
    </r>
    <r>
      <rPr>
        <sz val="10"/>
        <color theme="1"/>
        <rFont val="Noto Sans CJK SC"/>
        <family val="2"/>
      </rPr>
      <t xml:space="preserve">거리오차 </t>
    </r>
    <r>
      <rPr>
        <sz val="10"/>
        <color theme="1"/>
        <rFont val="Arial"/>
        <family val="2"/>
      </rPr>
      <t>2.9cm (</t>
    </r>
    <r>
      <rPr>
        <sz val="10"/>
        <color theme="1"/>
        <rFont val="Noto Sans CJK SC"/>
        <family val="2"/>
      </rPr>
      <t xml:space="preserve">기준 좌우 </t>
    </r>
    <r>
      <rPr>
        <sz val="10"/>
        <color theme="1"/>
        <rFont val="Arial"/>
        <family val="2"/>
      </rPr>
      <t>3.5cm/</t>
    </r>
    <r>
      <rPr>
        <sz val="10"/>
        <color theme="1"/>
        <rFont val="Noto Sans CJK SC"/>
        <family val="2"/>
      </rPr>
      <t xml:space="preserve">거리 </t>
    </r>
    <r>
      <rPr>
        <sz val="10"/>
        <color theme="1"/>
        <rFont val="Arial"/>
        <family val="2"/>
      </rPr>
      <t xml:space="preserve">5cm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>)</t>
    </r>
  </si>
  <si>
    <t>2026-08-17 17:24</t>
  </si>
  <si>
    <t>2026-08-17 17:44</t>
  </si>
  <si>
    <r>
      <rPr>
        <sz val="10"/>
        <color theme="1"/>
        <rFont val="Noto Sans CJK SC"/>
        <family val="2"/>
      </rPr>
      <t xml:space="preserve">좌우오차 </t>
    </r>
    <r>
      <rPr>
        <sz val="10"/>
        <color theme="1"/>
        <rFont val="Arial"/>
        <family val="2"/>
      </rPr>
      <t xml:space="preserve">1.4cm, </t>
    </r>
    <r>
      <rPr>
        <sz val="10"/>
        <color theme="1"/>
        <rFont val="Noto Sans CJK SC"/>
        <family val="2"/>
      </rPr>
      <t xml:space="preserve">거리오차 </t>
    </r>
    <r>
      <rPr>
        <sz val="10"/>
        <color theme="1"/>
        <rFont val="Arial"/>
        <family val="2"/>
      </rPr>
      <t>3.1cm (</t>
    </r>
    <r>
      <rPr>
        <sz val="10"/>
        <color theme="1"/>
        <rFont val="Noto Sans CJK SC"/>
        <family val="2"/>
      </rPr>
      <t xml:space="preserve">기준 좌우 </t>
    </r>
    <r>
      <rPr>
        <sz val="10"/>
        <color theme="1"/>
        <rFont val="Arial"/>
        <family val="2"/>
      </rPr>
      <t>3.5cm/</t>
    </r>
    <r>
      <rPr>
        <sz val="10"/>
        <color theme="1"/>
        <rFont val="Noto Sans CJK SC"/>
        <family val="2"/>
      </rPr>
      <t xml:space="preserve">거리 </t>
    </r>
    <r>
      <rPr>
        <sz val="10"/>
        <color theme="1"/>
        <rFont val="Arial"/>
        <family val="2"/>
      </rPr>
      <t xml:space="preserve">5cm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>)</t>
    </r>
  </si>
  <si>
    <t>2026-08-17 18:01</t>
  </si>
  <si>
    <r>
      <rPr>
        <sz val="10"/>
        <color theme="1"/>
        <rFont val="Noto Sans CJK SC"/>
        <family val="2"/>
      </rPr>
      <t xml:space="preserve">좌우오차 </t>
    </r>
    <r>
      <rPr>
        <sz val="10"/>
        <color theme="1"/>
        <rFont val="Arial"/>
        <family val="2"/>
      </rPr>
      <t xml:space="preserve">2.6cm, </t>
    </r>
    <r>
      <rPr>
        <sz val="10"/>
        <color theme="1"/>
        <rFont val="Noto Sans CJK SC"/>
        <family val="2"/>
      </rPr>
      <t xml:space="preserve">거리오차 </t>
    </r>
    <r>
      <rPr>
        <sz val="10"/>
        <color theme="1"/>
        <rFont val="Arial"/>
        <family val="2"/>
      </rPr>
      <t>1.0cm (</t>
    </r>
    <r>
      <rPr>
        <sz val="10"/>
        <color theme="1"/>
        <rFont val="Noto Sans CJK SC"/>
        <family val="2"/>
      </rPr>
      <t xml:space="preserve">기준 좌우 </t>
    </r>
    <r>
      <rPr>
        <sz val="10"/>
        <color theme="1"/>
        <rFont val="Arial"/>
        <family val="2"/>
      </rPr>
      <t>3.5cm/</t>
    </r>
    <r>
      <rPr>
        <sz val="10"/>
        <color theme="1"/>
        <rFont val="Noto Sans CJK SC"/>
        <family val="2"/>
      </rPr>
      <t xml:space="preserve">거리 </t>
    </r>
    <r>
      <rPr>
        <sz val="10"/>
        <color theme="1"/>
        <rFont val="Arial"/>
        <family val="2"/>
      </rPr>
      <t xml:space="preserve">5cm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>)</t>
    </r>
  </si>
  <si>
    <t>2026-08-17 18:42</t>
  </si>
  <si>
    <r>
      <rPr>
        <sz val="10"/>
        <color theme="1"/>
        <rFont val="Noto Sans CJK SC"/>
        <family val="2"/>
      </rPr>
      <t xml:space="preserve">좌우오차 </t>
    </r>
    <r>
      <rPr>
        <sz val="10"/>
        <color theme="1"/>
        <rFont val="Arial"/>
        <family val="2"/>
      </rPr>
      <t xml:space="preserve">1.5cm, </t>
    </r>
    <r>
      <rPr>
        <sz val="10"/>
        <color theme="1"/>
        <rFont val="Noto Sans CJK SC"/>
        <family val="2"/>
      </rPr>
      <t xml:space="preserve">거리오차 </t>
    </r>
    <r>
      <rPr>
        <sz val="10"/>
        <color theme="1"/>
        <rFont val="Arial"/>
        <family val="2"/>
      </rPr>
      <t>3.3cm (</t>
    </r>
    <r>
      <rPr>
        <sz val="10"/>
        <color theme="1"/>
        <rFont val="Noto Sans CJK SC"/>
        <family val="2"/>
      </rPr>
      <t xml:space="preserve">기준 좌우 </t>
    </r>
    <r>
      <rPr>
        <sz val="10"/>
        <color theme="1"/>
        <rFont val="Arial"/>
        <family val="2"/>
      </rPr>
      <t>3.5cm/</t>
    </r>
    <r>
      <rPr>
        <sz val="10"/>
        <color theme="1"/>
        <rFont val="Noto Sans CJK SC"/>
        <family val="2"/>
      </rPr>
      <t xml:space="preserve">거리 </t>
    </r>
    <r>
      <rPr>
        <sz val="10"/>
        <color theme="1"/>
        <rFont val="Arial"/>
        <family val="2"/>
      </rPr>
      <t xml:space="preserve">5cm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>)</t>
    </r>
  </si>
  <si>
    <t>2026-08-17 18:55</t>
  </si>
  <si>
    <r>
      <rPr>
        <sz val="10"/>
        <color theme="1"/>
        <rFont val="Noto Sans CJK SC"/>
        <family val="2"/>
      </rPr>
      <t xml:space="preserve">조건부 </t>
    </r>
    <r>
      <rPr>
        <sz val="10"/>
        <color theme="1"/>
        <rFont val="Arial"/>
        <family val="2"/>
      </rPr>
      <t>PASS</t>
    </r>
  </si>
  <si>
    <r>
      <rPr>
        <sz val="10"/>
        <color theme="1"/>
        <rFont val="Arial"/>
        <family val="2"/>
      </rPr>
      <t>3</t>
    </r>
    <r>
      <rPr>
        <sz val="10"/>
        <color theme="1"/>
        <rFont val="Noto Sans CJK SC"/>
        <family val="2"/>
      </rPr>
      <t>회 재탐색 끝에 정렬 완료</t>
    </r>
    <r>
      <rPr>
        <sz val="10"/>
        <color theme="1"/>
        <rFont val="Arial"/>
        <family val="2"/>
      </rPr>
      <t>(</t>
    </r>
    <r>
      <rPr>
        <sz val="10"/>
        <color theme="1"/>
        <rFont val="Noto Sans CJK SC"/>
        <family val="2"/>
      </rPr>
      <t xml:space="preserve">좌우오차 </t>
    </r>
    <r>
      <rPr>
        <sz val="10"/>
        <color theme="1"/>
        <rFont val="Arial"/>
        <family val="2"/>
      </rPr>
      <t>3.2cm)</t>
    </r>
  </si>
  <si>
    <r>
      <rPr>
        <sz val="10"/>
        <color theme="1"/>
        <rFont val="Noto Sans CJK SC"/>
        <family val="2"/>
      </rPr>
      <t>정렬</t>
    </r>
    <r>
      <rPr>
        <sz val="10"/>
        <color theme="1"/>
        <rFont val="Arial"/>
        <family val="2"/>
      </rPr>
      <t>/</t>
    </r>
    <r>
      <rPr>
        <sz val="10"/>
        <color theme="1"/>
        <rFont val="Noto Sans CJK SC"/>
        <family val="2"/>
      </rPr>
      <t>오차 기준 초과</t>
    </r>
  </si>
  <si>
    <r>
      <rPr>
        <sz val="10"/>
        <color theme="1"/>
        <rFont val="Arial"/>
        <family val="2"/>
      </rPr>
      <t>1</t>
    </r>
    <r>
      <rPr>
        <sz val="10"/>
        <color theme="1"/>
        <rFont val="Noto Sans CJK SC"/>
        <family val="2"/>
      </rPr>
      <t xml:space="preserve">차 접근 시 마커 일부 가림으로 재탐색 </t>
    </r>
    <r>
      <rPr>
        <sz val="10"/>
        <color theme="1"/>
        <rFont val="Arial"/>
        <family val="2"/>
      </rPr>
      <t>2</t>
    </r>
    <r>
      <rPr>
        <sz val="10"/>
        <color theme="1"/>
        <rFont val="Noto Sans CJK SC"/>
        <family val="2"/>
      </rPr>
      <t>회 발생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최종 </t>
    </r>
    <r>
      <rPr>
        <sz val="10"/>
        <color theme="1"/>
        <rFont val="Arial"/>
        <family val="2"/>
      </rPr>
      <t>3</t>
    </r>
    <r>
      <rPr>
        <sz val="10"/>
        <color theme="1"/>
        <rFont val="Noto Sans CJK SC"/>
        <family val="2"/>
      </rPr>
      <t>회차에 정렬 완료</t>
    </r>
    <r>
      <rPr>
        <sz val="10"/>
        <color theme="1"/>
        <rFont val="Arial"/>
        <family val="2"/>
      </rPr>
      <t>(</t>
    </r>
    <r>
      <rPr>
        <sz val="10"/>
        <color theme="1"/>
        <rFont val="Noto Sans CJK SC"/>
        <family val="2"/>
      </rPr>
      <t xml:space="preserve">기준 좌우 </t>
    </r>
    <r>
      <rPr>
        <sz val="10"/>
        <color theme="1"/>
        <rFont val="Arial"/>
        <family val="2"/>
      </rPr>
      <t>3.5cm/</t>
    </r>
    <r>
      <rPr>
        <sz val="10"/>
        <color theme="1"/>
        <rFont val="Noto Sans CJK SC"/>
        <family val="2"/>
      </rPr>
      <t>거리 이내 충족</t>
    </r>
    <r>
      <rPr>
        <sz val="10"/>
        <color theme="1"/>
        <rFont val="Arial"/>
        <family val="2"/>
      </rPr>
      <t>)</t>
    </r>
  </si>
  <si>
    <t>2026-08-17 19:18</t>
  </si>
  <si>
    <t>재시험 요청이 비상정지 상태로 오인되어 거부됨</t>
  </si>
  <si>
    <r>
      <rPr>
        <sz val="10"/>
        <color theme="1"/>
        <rFont val="Noto Sans"/>
        <family val="3"/>
        <charset val="129"/>
      </rPr>
      <t xml:space="preserve">RETRY_ENTRY </t>
    </r>
    <r>
      <rPr>
        <sz val="10"/>
        <color theme="1"/>
        <rFont val="Noto Sans CJK SC"/>
        <family val="2"/>
      </rPr>
      <t xml:space="preserve">상태 진입 조건 판정 로직에서 이전 구간 </t>
    </r>
    <r>
      <rPr>
        <sz val="10"/>
        <color theme="1"/>
        <rFont val="Noto Sans"/>
        <family val="3"/>
        <charset val="129"/>
      </rPr>
      <t xml:space="preserve">FAIL </t>
    </r>
    <r>
      <rPr>
        <sz val="10"/>
        <color theme="1"/>
        <rFont val="Noto Sans CJK SC"/>
        <family val="2"/>
      </rPr>
      <t>플래그가 초기화되지 않음</t>
    </r>
  </si>
  <si>
    <t>on_start_retry_request / RETRY_ENTRY / _finish_retry / _announce_retry_result</t>
  </si>
  <si>
    <t>2026-08-07 09:50</t>
  </si>
  <si>
    <r>
      <rPr>
        <sz val="10"/>
        <color theme="1"/>
        <rFont val="Noto Sans CJK SC"/>
        <family val="2"/>
      </rPr>
      <t>재시험 구간 진입 후 정상 재판정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도착점 복귀까지 </t>
    </r>
    <r>
      <rPr>
        <sz val="10"/>
        <color theme="1"/>
        <rFont val="Arial"/>
        <family val="2"/>
      </rPr>
      <t>4.2s</t>
    </r>
  </si>
  <si>
    <t>2026-08-07 10:15</t>
  </si>
  <si>
    <r>
      <rPr>
        <sz val="10"/>
        <color theme="1"/>
        <rFont val="Noto Sans CJK SC"/>
        <family val="2"/>
      </rPr>
      <t>재시험 구간 진입 후 정상 재판정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도착점 복귀까지 </t>
    </r>
    <r>
      <rPr>
        <sz val="10"/>
        <color theme="1"/>
        <rFont val="Arial"/>
        <family val="2"/>
      </rPr>
      <t>8.3s</t>
    </r>
  </si>
  <si>
    <t>2026-08-07 10:50</t>
  </si>
  <si>
    <r>
      <rPr>
        <sz val="10"/>
        <color theme="1"/>
        <rFont val="Noto Sans CJK SC"/>
        <family val="2"/>
      </rPr>
      <t>재시험 구간 진입 후 정상 재판정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도착점 복귀까지 </t>
    </r>
    <r>
      <rPr>
        <sz val="10"/>
        <color theme="1"/>
        <rFont val="Arial"/>
        <family val="2"/>
      </rPr>
      <t>5.6s</t>
    </r>
  </si>
  <si>
    <t>2026-08-07 11:25</t>
  </si>
  <si>
    <r>
      <rPr>
        <sz val="10"/>
        <color theme="1"/>
        <rFont val="Noto Sans CJK SC"/>
        <family val="2"/>
      </rPr>
      <t>재시험 구간 진입 후 정상 재판정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도착점 복귀까지 </t>
    </r>
    <r>
      <rPr>
        <sz val="10"/>
        <color theme="1"/>
        <rFont val="Arial"/>
        <family val="2"/>
      </rPr>
      <t>6.8s</t>
    </r>
  </si>
  <si>
    <t>2026-08-07 12:06</t>
  </si>
  <si>
    <r>
      <rPr>
        <sz val="10"/>
        <color theme="1"/>
        <rFont val="Noto Sans CJK SC"/>
        <family val="2"/>
      </rPr>
      <t>재시험 구간 진입 후 정상 재판정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도착점 복귀까지 </t>
    </r>
    <r>
      <rPr>
        <sz val="10"/>
        <color theme="1"/>
        <rFont val="Arial"/>
        <family val="2"/>
      </rPr>
      <t>3.5s</t>
    </r>
  </si>
  <si>
    <t>2026-08-07 12:21</t>
  </si>
  <si>
    <r>
      <rPr>
        <sz val="10"/>
        <color theme="1"/>
        <rFont val="Noto Sans CJK SC"/>
        <family val="2"/>
      </rPr>
      <t>재시험 구간 진입 후 정상 재판정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도착점 복귀까지 </t>
    </r>
    <r>
      <rPr>
        <sz val="10"/>
        <color theme="1"/>
        <rFont val="Arial"/>
        <family val="2"/>
      </rPr>
      <t>8.7s</t>
    </r>
  </si>
  <si>
    <t>2026-08-07 12:41</t>
  </si>
  <si>
    <r>
      <rPr>
        <sz val="10"/>
        <color theme="1"/>
        <rFont val="Noto Sans CJK SC"/>
        <family val="2"/>
      </rPr>
      <t>재시험 구간 진입 후 정상 재판정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도착점 복귀까지 </t>
    </r>
    <r>
      <rPr>
        <sz val="10"/>
        <color theme="1"/>
        <rFont val="Arial"/>
        <family val="2"/>
      </rPr>
      <t>7.3s</t>
    </r>
  </si>
  <si>
    <t>2026-08-07 13:19</t>
  </si>
  <si>
    <r>
      <rPr>
        <sz val="10"/>
        <color theme="1"/>
        <rFont val="Noto Sans CJK SC"/>
        <family val="2"/>
      </rPr>
      <t>재시험 구간 진입 후 정상 재판정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도착점 복귀까지 </t>
    </r>
    <r>
      <rPr>
        <sz val="10"/>
        <color theme="1"/>
        <rFont val="Arial"/>
        <family val="2"/>
      </rPr>
      <t>5.8s</t>
    </r>
  </si>
  <si>
    <t>2026-08-07 13:54</t>
  </si>
  <si>
    <r>
      <rPr>
        <sz val="10"/>
        <color theme="1"/>
        <rFont val="Noto Sans CJK SC"/>
        <family val="2"/>
      </rPr>
      <t>재시험 구간 진입 후 정상 재판정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도착점 복귀까지 </t>
    </r>
    <r>
      <rPr>
        <sz val="10"/>
        <color theme="1"/>
        <rFont val="Arial"/>
        <family val="2"/>
      </rPr>
      <t>7.5s</t>
    </r>
  </si>
  <si>
    <t>2026-08-07 14:39</t>
  </si>
  <si>
    <r>
      <rPr>
        <sz val="10"/>
        <color theme="1"/>
        <rFont val="Noto Sans CJK SC"/>
        <family val="2"/>
      </rPr>
      <t xml:space="preserve">단절 감지까지 </t>
    </r>
    <r>
      <rPr>
        <sz val="10"/>
        <color theme="1"/>
        <rFont val="Noto Sans"/>
        <family val="3"/>
        <charset val="129"/>
      </rPr>
      <t xml:space="preserve">7.2s </t>
    </r>
    <r>
      <rPr>
        <sz val="10"/>
        <color theme="1"/>
        <rFont val="Noto Sans CJK SC"/>
        <family val="2"/>
      </rPr>
      <t>소요</t>
    </r>
    <r>
      <rPr>
        <sz val="10"/>
        <color theme="1"/>
        <rFont val="Noto Sans"/>
        <family val="3"/>
        <charset val="129"/>
      </rPr>
      <t>(</t>
    </r>
    <r>
      <rPr>
        <sz val="10"/>
        <color theme="1"/>
        <rFont val="Noto Sans CJK SC"/>
        <family val="2"/>
      </rPr>
      <t xml:space="preserve">점검주기 </t>
    </r>
    <r>
      <rPr>
        <sz val="10"/>
        <color theme="1"/>
        <rFont val="Noto Sans"/>
        <family val="3"/>
        <charset val="129"/>
      </rPr>
      <t xml:space="preserve">5s </t>
    </r>
    <r>
      <rPr>
        <sz val="10"/>
        <color theme="1"/>
        <rFont val="Noto Sans CJK SC"/>
        <family val="2"/>
      </rPr>
      <t>초과</t>
    </r>
    <r>
      <rPr>
        <sz val="10"/>
        <color theme="1"/>
        <rFont val="Noto Sans"/>
        <family val="3"/>
        <charset val="129"/>
      </rPr>
      <t>)</t>
    </r>
  </si>
  <si>
    <r>
      <rPr>
        <sz val="10"/>
        <color theme="1"/>
        <rFont val="Noto Sans"/>
        <family val="3"/>
        <charset val="129"/>
      </rPr>
      <t xml:space="preserve">wifi_polling_loop </t>
    </r>
    <r>
      <rPr>
        <sz val="10"/>
        <color theme="1"/>
        <rFont val="Noto Sans CJK SC"/>
        <family val="2"/>
      </rPr>
      <t>주기 설정값이 실제 반영되지 않아 감지 지연 발생</t>
    </r>
  </si>
  <si>
    <t>wifi_polling_loop / check_wifi_status / on_wifi_disconnected</t>
  </si>
  <si>
    <r>
      <rPr>
        <sz val="10"/>
        <color theme="1"/>
        <rFont val="Noto Sans CJK SC"/>
        <family val="2"/>
      </rPr>
      <t>단절 감지 후 정지</t>
    </r>
    <r>
      <rPr>
        <sz val="10"/>
        <color theme="1"/>
        <rFont val="Arial"/>
        <family val="2"/>
      </rPr>
      <t>+</t>
    </r>
    <r>
      <rPr>
        <sz val="10"/>
        <color theme="1"/>
        <rFont val="Noto Sans CJK SC"/>
        <family val="2"/>
      </rPr>
      <t>음성안내</t>
    </r>
    <r>
      <rPr>
        <sz val="10"/>
        <color theme="1"/>
        <rFont val="Arial"/>
        <family val="2"/>
      </rPr>
      <t>+</t>
    </r>
    <r>
      <rPr>
        <sz val="10"/>
        <color theme="1"/>
        <rFont val="Noto Sans CJK SC"/>
        <family val="2"/>
      </rPr>
      <t>초기위치 복귀 정상 수행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감지 소요 </t>
    </r>
    <r>
      <rPr>
        <sz val="10"/>
        <color theme="1"/>
        <rFont val="Arial"/>
        <family val="2"/>
      </rPr>
      <t>0.8s(</t>
    </r>
    <r>
      <rPr>
        <sz val="10"/>
        <color theme="1"/>
        <rFont val="Noto Sans CJK SC"/>
        <family val="2"/>
      </rPr>
      <t xml:space="preserve">점검주기 </t>
    </r>
    <r>
      <rPr>
        <sz val="10"/>
        <color theme="1"/>
        <rFont val="Arial"/>
        <family val="2"/>
      </rPr>
      <t xml:space="preserve">5s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>)</t>
    </r>
  </si>
  <si>
    <t>2026-08-17 16:15</t>
  </si>
  <si>
    <r>
      <rPr>
        <sz val="10"/>
        <color theme="1"/>
        <rFont val="Noto Sans CJK SC"/>
        <family val="2"/>
      </rPr>
      <t>단절 감지 후 정지</t>
    </r>
    <r>
      <rPr>
        <sz val="10"/>
        <color theme="1"/>
        <rFont val="Arial"/>
        <family val="2"/>
      </rPr>
      <t>+</t>
    </r>
    <r>
      <rPr>
        <sz val="10"/>
        <color theme="1"/>
        <rFont val="Noto Sans CJK SC"/>
        <family val="2"/>
      </rPr>
      <t>음성안내</t>
    </r>
    <r>
      <rPr>
        <sz val="10"/>
        <color theme="1"/>
        <rFont val="Arial"/>
        <family val="2"/>
      </rPr>
      <t>+</t>
    </r>
    <r>
      <rPr>
        <sz val="10"/>
        <color theme="1"/>
        <rFont val="Noto Sans CJK SC"/>
        <family val="2"/>
      </rPr>
      <t>초기위치 복귀 정상 수행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감지 소요 </t>
    </r>
    <r>
      <rPr>
        <sz val="10"/>
        <color theme="1"/>
        <rFont val="Arial"/>
        <family val="2"/>
      </rPr>
      <t>1.1s(</t>
    </r>
    <r>
      <rPr>
        <sz val="10"/>
        <color theme="1"/>
        <rFont val="Noto Sans CJK SC"/>
        <family val="2"/>
      </rPr>
      <t xml:space="preserve">점검주기 </t>
    </r>
    <r>
      <rPr>
        <sz val="10"/>
        <color theme="1"/>
        <rFont val="Arial"/>
        <family val="2"/>
      </rPr>
      <t xml:space="preserve">5s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>)</t>
    </r>
  </si>
  <si>
    <t>2026-08-17 16:42</t>
  </si>
  <si>
    <r>
      <rPr>
        <sz val="10"/>
        <color theme="1"/>
        <rFont val="Noto Sans CJK SC"/>
        <family val="2"/>
      </rPr>
      <t>단절 감지 후 정지</t>
    </r>
    <r>
      <rPr>
        <sz val="10"/>
        <color theme="1"/>
        <rFont val="Arial"/>
        <family val="2"/>
      </rPr>
      <t>+</t>
    </r>
    <r>
      <rPr>
        <sz val="10"/>
        <color theme="1"/>
        <rFont val="Noto Sans CJK SC"/>
        <family val="2"/>
      </rPr>
      <t>음성안내</t>
    </r>
    <r>
      <rPr>
        <sz val="10"/>
        <color theme="1"/>
        <rFont val="Arial"/>
        <family val="2"/>
      </rPr>
      <t>+</t>
    </r>
    <r>
      <rPr>
        <sz val="10"/>
        <color theme="1"/>
        <rFont val="Noto Sans CJK SC"/>
        <family val="2"/>
      </rPr>
      <t>초기위치 복귀 정상 수행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감지 소요 </t>
    </r>
    <r>
      <rPr>
        <sz val="10"/>
        <color theme="1"/>
        <rFont val="Arial"/>
        <family val="2"/>
      </rPr>
      <t>4.5s(</t>
    </r>
    <r>
      <rPr>
        <sz val="10"/>
        <color theme="1"/>
        <rFont val="Noto Sans CJK SC"/>
        <family val="2"/>
      </rPr>
      <t xml:space="preserve">점검주기 </t>
    </r>
    <r>
      <rPr>
        <sz val="10"/>
        <color theme="1"/>
        <rFont val="Arial"/>
        <family val="2"/>
      </rPr>
      <t xml:space="preserve">5s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>)</t>
    </r>
  </si>
  <si>
    <t>2026-08-17 17:18</t>
  </si>
  <si>
    <r>
      <rPr>
        <sz val="10"/>
        <color theme="1"/>
        <rFont val="Noto Sans CJK SC"/>
        <family val="2"/>
      </rPr>
      <t>단절 감지 후 정지</t>
    </r>
    <r>
      <rPr>
        <sz val="10"/>
        <color theme="1"/>
        <rFont val="Arial"/>
        <family val="2"/>
      </rPr>
      <t>+</t>
    </r>
    <r>
      <rPr>
        <sz val="10"/>
        <color theme="1"/>
        <rFont val="Noto Sans CJK SC"/>
        <family val="2"/>
      </rPr>
      <t>음성안내</t>
    </r>
    <r>
      <rPr>
        <sz val="10"/>
        <color theme="1"/>
        <rFont val="Arial"/>
        <family val="2"/>
      </rPr>
      <t>+</t>
    </r>
    <r>
      <rPr>
        <sz val="10"/>
        <color theme="1"/>
        <rFont val="Noto Sans CJK SC"/>
        <family val="2"/>
      </rPr>
      <t>초기위치 복귀 정상 수행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감지 소요 </t>
    </r>
    <r>
      <rPr>
        <sz val="10"/>
        <color theme="1"/>
        <rFont val="Arial"/>
        <family val="2"/>
      </rPr>
      <t>0.6s(</t>
    </r>
    <r>
      <rPr>
        <sz val="10"/>
        <color theme="1"/>
        <rFont val="Noto Sans CJK SC"/>
        <family val="2"/>
      </rPr>
      <t xml:space="preserve">점검주기 </t>
    </r>
    <r>
      <rPr>
        <sz val="10"/>
        <color theme="1"/>
        <rFont val="Arial"/>
        <family val="2"/>
      </rPr>
      <t xml:space="preserve">5s </t>
    </r>
    <r>
      <rPr>
        <sz val="10"/>
        <color theme="1"/>
        <rFont val="Noto Sans CJK SC"/>
        <family val="2"/>
      </rPr>
      <t>이내</t>
    </r>
    <r>
      <rPr>
        <sz val="10"/>
        <color theme="1"/>
        <rFont val="Arial"/>
        <family val="2"/>
      </rPr>
      <t>)</t>
    </r>
  </si>
  <si>
    <t>2026-08-17 17:50</t>
  </si>
  <si>
    <t>노드 종료 후 재시작되지 않음</t>
  </si>
  <si>
    <r>
      <rPr>
        <sz val="10"/>
        <color theme="1"/>
        <rFont val="Noto Sans"/>
        <family val="3"/>
        <charset val="129"/>
      </rPr>
      <t xml:space="preserve">PM2 ecosystem </t>
    </r>
    <r>
      <rPr>
        <sz val="10"/>
        <color theme="1"/>
        <rFont val="Noto Sans CJK SC"/>
        <family val="2"/>
      </rPr>
      <t xml:space="preserve">설정에 </t>
    </r>
    <r>
      <rPr>
        <sz val="10"/>
        <color theme="1"/>
        <rFont val="Noto Sans"/>
        <family val="3"/>
        <charset val="129"/>
      </rPr>
      <t xml:space="preserve">restart_delay/max_restarts </t>
    </r>
    <r>
      <rPr>
        <sz val="10"/>
        <color theme="1"/>
        <rFont val="Noto Sans CJK SC"/>
        <family val="2"/>
      </rPr>
      <t>미설정으로 재시작 트리거 실패</t>
    </r>
  </si>
  <si>
    <r>
      <rPr>
        <sz val="9"/>
        <color rgb="FF777777"/>
        <rFont val="Arial"/>
        <family val="2"/>
      </rPr>
      <t xml:space="preserve">PM2/launch </t>
    </r>
    <r>
      <rPr>
        <sz val="9"/>
        <color rgb="FF777777"/>
        <rFont val="Noto Sans CJK SC"/>
        <family val="2"/>
      </rPr>
      <t xml:space="preserve">프로세스 관리 </t>
    </r>
    <r>
      <rPr>
        <sz val="9"/>
        <color rgb="FF777777"/>
        <rFont val="Arial"/>
        <family val="2"/>
      </rPr>
      <t>(</t>
    </r>
    <r>
      <rPr>
        <sz val="9"/>
        <color rgb="FF777777"/>
        <rFont val="Noto Sans CJK SC"/>
        <family val="2"/>
      </rPr>
      <t>노드 외부 영역</t>
    </r>
    <r>
      <rPr>
        <sz val="9"/>
        <color rgb="FF777777"/>
        <rFont val="Arial"/>
        <family val="2"/>
      </rPr>
      <t xml:space="preserve">, driving_node </t>
    </r>
    <r>
      <rPr>
        <sz val="9"/>
        <color rgb="FF777777"/>
        <rFont val="Noto Sans CJK SC"/>
        <family val="2"/>
      </rPr>
      <t>자체 로직 아님</t>
    </r>
    <r>
      <rPr>
        <sz val="9"/>
        <color rgb="FF777777"/>
        <rFont val="Arial"/>
        <family val="2"/>
      </rPr>
      <t>)</t>
    </r>
  </si>
  <si>
    <t>2026-08-17 17:10</t>
  </si>
  <si>
    <r>
      <rPr>
        <sz val="10"/>
        <color theme="1"/>
        <rFont val="Noto Sans CJK SC"/>
        <family val="2"/>
      </rPr>
      <t>노드 강제 종료 감지 후 자동 재시작 완료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재시작 소요 </t>
    </r>
    <r>
      <rPr>
        <sz val="10"/>
        <color theme="1"/>
        <rFont val="Arial"/>
        <family val="2"/>
      </rPr>
      <t>4.7s</t>
    </r>
  </si>
  <si>
    <t>2026-08-17 17:25</t>
  </si>
  <si>
    <r>
      <rPr>
        <sz val="10"/>
        <color theme="1"/>
        <rFont val="Noto Sans CJK SC"/>
        <family val="2"/>
      </rPr>
      <t>노드 강제 종료 감지 후 자동 재시작 완료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재시작 소요 </t>
    </r>
    <r>
      <rPr>
        <sz val="10"/>
        <color theme="1"/>
        <rFont val="Arial"/>
        <family val="2"/>
      </rPr>
      <t>4.1s</t>
    </r>
  </si>
  <si>
    <t>2026-08-17 17:46</t>
  </si>
  <si>
    <r>
      <rPr>
        <sz val="10"/>
        <color theme="1"/>
        <rFont val="Noto Sans CJK SC"/>
        <family val="2"/>
      </rPr>
      <t>노드 강제 종료 감지 후 자동 재시작 완료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재시작 소요 </t>
    </r>
    <r>
      <rPr>
        <sz val="10"/>
        <color theme="1"/>
        <rFont val="Arial"/>
        <family val="2"/>
      </rPr>
      <t>5.0s</t>
    </r>
  </si>
  <si>
    <t>2026-08-17 18:05</t>
  </si>
  <si>
    <r>
      <rPr>
        <sz val="10"/>
        <color theme="1"/>
        <rFont val="Noto Sans CJK SC"/>
        <family val="2"/>
      </rPr>
      <t>노드 강제 종료 감지 후 자동 재시작 완료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재시작 소요 </t>
    </r>
    <r>
      <rPr>
        <sz val="10"/>
        <color theme="1"/>
        <rFont val="Arial"/>
        <family val="2"/>
      </rPr>
      <t>4.8s</t>
    </r>
  </si>
  <si>
    <t>2026-08-17 18:29</t>
  </si>
  <si>
    <t>전원 인가</t>
  </si>
  <si>
    <r>
      <rPr>
        <sz val="10"/>
        <color theme="1"/>
        <rFont val="Noto Sans"/>
        <family val="3"/>
        <charset val="129"/>
      </rPr>
      <t xml:space="preserve">ACK </t>
    </r>
    <r>
      <rPr>
        <sz val="10"/>
        <color theme="1"/>
        <rFont val="Noto Sans CJK SC"/>
        <family val="2"/>
      </rPr>
      <t>미수신</t>
    </r>
    <r>
      <rPr>
        <sz val="10"/>
        <color theme="1"/>
        <rFont val="Noto Sans"/>
        <family val="3"/>
        <charset val="129"/>
      </rPr>
      <t>(2</t>
    </r>
    <r>
      <rPr>
        <sz val="10"/>
        <color theme="1"/>
        <rFont val="Noto Sans CJK SC"/>
        <family val="2"/>
      </rPr>
      <t>초 타임아웃</t>
    </r>
    <r>
      <rPr>
        <sz val="10"/>
        <color theme="1"/>
        <rFont val="Noto Sans"/>
        <family val="3"/>
        <charset val="129"/>
      </rPr>
      <t>)</t>
    </r>
    <r>
      <rPr>
        <sz val="10"/>
        <color theme="1"/>
        <rFont val="Noto Sans CJK SC"/>
        <family val="2"/>
      </rPr>
      <t>으로 시작 차단</t>
    </r>
  </si>
  <si>
    <r>
      <rPr>
        <sz val="10"/>
        <color theme="1"/>
        <rFont val="Noto Sans CJK SC"/>
        <family val="2"/>
      </rPr>
      <t xml:space="preserve">아두이노 부팅 지연으로 시리얼 포트 준비 전 명령이 전송되어 </t>
    </r>
    <r>
      <rPr>
        <sz val="10"/>
        <color theme="1"/>
        <rFont val="Noto Sans"/>
        <family val="3"/>
        <charset val="129"/>
      </rPr>
      <t xml:space="preserve">ACK </t>
    </r>
    <r>
      <rPr>
        <sz val="10"/>
        <color theme="1"/>
        <rFont val="Noto Sans CJK SC"/>
        <family val="2"/>
      </rPr>
      <t>타임아웃 발생</t>
    </r>
  </si>
  <si>
    <r>
      <rPr>
        <sz val="9"/>
        <color rgb="FF777777"/>
        <rFont val="Arial"/>
        <family val="2"/>
      </rPr>
      <t>on_startup / _try_start / _do_start (</t>
    </r>
    <r>
      <rPr>
        <sz val="9"/>
        <color rgb="FF777777"/>
        <rFont val="Noto Sans CJK SC"/>
        <family val="2"/>
      </rPr>
      <t>구독자</t>
    </r>
    <r>
      <rPr>
        <sz val="9"/>
        <color rgb="FF777777"/>
        <rFont val="Arial"/>
        <family val="2"/>
      </rPr>
      <t xml:space="preserve">·TF·AMCL </t>
    </r>
    <r>
      <rPr>
        <sz val="9"/>
        <color rgb="FF777777"/>
        <rFont val="Noto Sans CJK SC"/>
        <family val="2"/>
      </rPr>
      <t>준비 대기</t>
    </r>
    <r>
      <rPr>
        <sz val="9"/>
        <color rgb="FF777777"/>
        <rFont val="Arial"/>
        <family val="2"/>
      </rPr>
      <t>)</t>
    </r>
  </si>
  <si>
    <t>2026-08-18 08:30</t>
  </si>
  <si>
    <r>
      <rPr>
        <sz val="10"/>
        <color theme="1"/>
        <rFont val="Noto Sans CJK SC"/>
        <family val="2"/>
      </rPr>
      <t>전원 인가 후 전 노드 자동 기동 및 시작조건 충족 확인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기동완료까지 </t>
    </r>
    <r>
      <rPr>
        <sz val="10"/>
        <color theme="1"/>
        <rFont val="Arial"/>
        <family val="2"/>
      </rPr>
      <t>18.1s</t>
    </r>
  </si>
  <si>
    <t>2026-08-18 08:51</t>
  </si>
  <si>
    <r>
      <rPr>
        <sz val="10"/>
        <color theme="1"/>
        <rFont val="Noto Sans CJK SC"/>
        <family val="2"/>
      </rPr>
      <t>전원 인가 후 전 노드 자동 기동 및 시작조건 충족 확인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기동완료까지 </t>
    </r>
    <r>
      <rPr>
        <sz val="10"/>
        <color theme="1"/>
        <rFont val="Arial"/>
        <family val="2"/>
      </rPr>
      <t>16.1s</t>
    </r>
  </si>
  <si>
    <t>2026-08-18 09:17</t>
  </si>
  <si>
    <r>
      <rPr>
        <sz val="10"/>
        <color theme="1"/>
        <rFont val="Noto Sans CJK SC"/>
        <family val="2"/>
      </rPr>
      <t>전원 인가 후 전 노드 자동 기동 및 시작조건 충족 확인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기동완료까지 </t>
    </r>
    <r>
      <rPr>
        <sz val="10"/>
        <color theme="1"/>
        <rFont val="Arial"/>
        <family val="2"/>
      </rPr>
      <t>23.9s</t>
    </r>
  </si>
  <si>
    <t>2026-08-18 09:45</t>
  </si>
  <si>
    <r>
      <rPr>
        <sz val="10"/>
        <color theme="1"/>
        <rFont val="Noto Sans CJK SC"/>
        <family val="2"/>
      </rPr>
      <t>전원 인가 후 전 노드 자동 기동 및 시작조건 충족 확인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 xml:space="preserve">기동완료까지 </t>
    </r>
    <r>
      <rPr>
        <sz val="10"/>
        <color theme="1"/>
        <rFont val="Arial"/>
        <family val="2"/>
      </rPr>
      <t>10.7s</t>
    </r>
  </si>
  <si>
    <t>2026-08-18 09:55</t>
  </si>
  <si>
    <r>
      <rPr>
        <sz val="10"/>
        <color theme="1"/>
        <rFont val="Noto Sans CJK SC"/>
        <family val="2"/>
      </rPr>
      <t xml:space="preserve">가속구간에서 규정속도 미유지로 해당 구간 </t>
    </r>
    <r>
      <rPr>
        <sz val="10"/>
        <color theme="1"/>
        <rFont val="Noto Sans"/>
        <family val="3"/>
        <charset val="129"/>
      </rPr>
      <t xml:space="preserve">FAIL, </t>
    </r>
    <r>
      <rPr>
        <sz val="10"/>
        <color theme="1"/>
        <rFont val="Noto Sans CJK SC"/>
        <family val="2"/>
      </rPr>
      <t>전체 결과 실패 처리</t>
    </r>
  </si>
  <si>
    <t>가속구간 파라미터 미조정 상태에서 전체 시나리오 최초 시험 진행</t>
  </si>
  <si>
    <r>
      <rPr>
        <sz val="9"/>
        <color rgb="FF777777"/>
        <rFont val="Arial"/>
        <family val="2"/>
      </rPr>
      <t xml:space="preserve">DrivingNode </t>
    </r>
    <r>
      <rPr>
        <sz val="9"/>
        <color rgb="FF777777"/>
        <rFont val="Noto Sans CJK SC"/>
        <family val="2"/>
      </rPr>
      <t xml:space="preserve">전체 상태머신 </t>
    </r>
    <r>
      <rPr>
        <sz val="9"/>
        <color rgb="FF777777"/>
        <rFont val="Arial"/>
        <family val="2"/>
      </rPr>
      <t>(NAV_ARRIVAL_TRANSITIONS, stage_results, _announce_final_result)</t>
    </r>
  </si>
  <si>
    <t>2026-08-18 10:40</t>
  </si>
  <si>
    <r>
      <rPr>
        <sz val="10"/>
        <color theme="1"/>
        <rFont val="Noto Sans CJK SC"/>
        <family val="2"/>
      </rPr>
      <t xml:space="preserve">직각주차 </t>
    </r>
    <r>
      <rPr>
        <sz val="10"/>
        <color theme="1"/>
        <rFont val="Arial"/>
        <family val="2"/>
      </rPr>
      <t>3</t>
    </r>
    <r>
      <rPr>
        <sz val="10"/>
        <color theme="1"/>
        <rFont val="Noto Sans CJK SC"/>
        <family val="2"/>
      </rPr>
      <t xml:space="preserve">회 재탐색 초과로 해당 구간 </t>
    </r>
    <r>
      <rPr>
        <sz val="10"/>
        <color theme="1"/>
        <rFont val="Arial"/>
        <family val="2"/>
      </rPr>
      <t>FAIL</t>
    </r>
  </si>
  <si>
    <r>
      <rPr>
        <sz val="10"/>
        <color theme="1"/>
        <rFont val="Noto Sans CJK SC"/>
        <family val="2"/>
      </rPr>
      <t>주차 정렬 로직 튜닝 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Noto Sans CJK SC"/>
        <family val="2"/>
      </rPr>
      <t>최종 접근 단계 반복 이탈</t>
    </r>
  </si>
  <si>
    <t>2026-08-18 11:13</t>
  </si>
  <si>
    <t>2026-08-18 11:43</t>
  </si>
  <si>
    <r>
      <rPr>
        <sz val="10"/>
        <color theme="1"/>
        <rFont val="Noto Sans CJK SC"/>
        <family val="2"/>
      </rPr>
      <t>전 구간</t>
    </r>
    <r>
      <rPr>
        <sz val="10"/>
        <color theme="1"/>
        <rFont val="Arial"/>
        <family val="2"/>
      </rPr>
      <t>(</t>
    </r>
    <r>
      <rPr>
        <sz val="10"/>
        <color theme="1"/>
        <rFont val="Noto Sans CJK SC"/>
        <family val="2"/>
      </rPr>
      <t>크랭크→</t>
    </r>
    <r>
      <rPr>
        <sz val="10"/>
        <color theme="1"/>
        <rFont val="Arial"/>
        <family val="2"/>
      </rPr>
      <t>S</t>
    </r>
    <r>
      <rPr>
        <sz val="10"/>
        <color theme="1"/>
        <rFont val="Noto Sans CJK SC"/>
        <family val="2"/>
      </rPr>
      <t>자→신호대기→가속→주차</t>
    </r>
    <r>
      <rPr>
        <sz val="10"/>
        <color theme="1"/>
        <rFont val="Arial"/>
        <family val="2"/>
      </rPr>
      <t xml:space="preserve">) PASS, </t>
    </r>
    <r>
      <rPr>
        <sz val="10"/>
        <color theme="1"/>
        <rFont val="Noto Sans CJK SC"/>
        <family val="2"/>
      </rPr>
      <t xml:space="preserve">총 소요시간 </t>
    </r>
    <r>
      <rPr>
        <sz val="10"/>
        <color theme="1"/>
        <rFont val="Arial"/>
        <family val="2"/>
      </rPr>
      <t>4.5</t>
    </r>
    <r>
      <rPr>
        <sz val="10"/>
        <color theme="1"/>
        <rFont val="Noto Sans CJK SC"/>
        <family val="2"/>
      </rPr>
      <t>분</t>
    </r>
  </si>
  <si>
    <t>2026-08-18 12:01</t>
  </si>
  <si>
    <r>
      <rPr>
        <sz val="10"/>
        <color theme="1"/>
        <rFont val="Noto Sans CJK SC"/>
        <family val="2"/>
      </rPr>
      <t>전 구간</t>
    </r>
    <r>
      <rPr>
        <sz val="10"/>
        <color theme="1"/>
        <rFont val="Arial"/>
        <family val="2"/>
      </rPr>
      <t>(</t>
    </r>
    <r>
      <rPr>
        <sz val="10"/>
        <color theme="1"/>
        <rFont val="Noto Sans CJK SC"/>
        <family val="2"/>
      </rPr>
      <t>크랭크→</t>
    </r>
    <r>
      <rPr>
        <sz val="10"/>
        <color theme="1"/>
        <rFont val="Arial"/>
        <family val="2"/>
      </rPr>
      <t>S</t>
    </r>
    <r>
      <rPr>
        <sz val="10"/>
        <color theme="1"/>
        <rFont val="Noto Sans CJK SC"/>
        <family val="2"/>
      </rPr>
      <t>자→신호대기→가속→주차</t>
    </r>
    <r>
      <rPr>
        <sz val="10"/>
        <color theme="1"/>
        <rFont val="Arial"/>
        <family val="2"/>
      </rPr>
      <t xml:space="preserve">) PASS, </t>
    </r>
    <r>
      <rPr>
        <sz val="10"/>
        <color theme="1"/>
        <rFont val="Noto Sans CJK SC"/>
        <family val="2"/>
      </rPr>
      <t xml:space="preserve">총 소요시간 </t>
    </r>
    <r>
      <rPr>
        <sz val="10"/>
        <color theme="1"/>
        <rFont val="Arial"/>
        <family val="2"/>
      </rPr>
      <t>6.1</t>
    </r>
    <r>
      <rPr>
        <sz val="10"/>
        <color theme="1"/>
        <rFont val="Noto Sans CJK SC"/>
        <family val="2"/>
      </rPr>
      <t>분</t>
    </r>
  </si>
  <si>
    <t>2026-08-18 12:43</t>
  </si>
  <si>
    <r>
      <rPr>
        <sz val="10"/>
        <color theme="1"/>
        <rFont val="Noto Sans CJK SC"/>
        <family val="2"/>
      </rPr>
      <t>전 구간</t>
    </r>
    <r>
      <rPr>
        <sz val="10"/>
        <color theme="1"/>
        <rFont val="Arial"/>
        <family val="2"/>
      </rPr>
      <t>(</t>
    </r>
    <r>
      <rPr>
        <sz val="10"/>
        <color theme="1"/>
        <rFont val="Noto Sans CJK SC"/>
        <family val="2"/>
      </rPr>
      <t>크랭크→</t>
    </r>
    <r>
      <rPr>
        <sz val="10"/>
        <color theme="1"/>
        <rFont val="Arial"/>
        <family val="2"/>
      </rPr>
      <t>S</t>
    </r>
    <r>
      <rPr>
        <sz val="10"/>
        <color theme="1"/>
        <rFont val="Noto Sans CJK SC"/>
        <family val="2"/>
      </rPr>
      <t>자→신호대기→가속→주차</t>
    </r>
    <r>
      <rPr>
        <sz val="10"/>
        <color theme="1"/>
        <rFont val="Arial"/>
        <family val="2"/>
      </rPr>
      <t xml:space="preserve">) PASS, </t>
    </r>
    <r>
      <rPr>
        <sz val="10"/>
        <color theme="1"/>
        <rFont val="Noto Sans CJK SC"/>
        <family val="2"/>
      </rPr>
      <t xml:space="preserve">총 소요시간 </t>
    </r>
    <r>
      <rPr>
        <sz val="10"/>
        <color theme="1"/>
        <rFont val="Arial"/>
        <family val="2"/>
      </rPr>
      <t>6.0</t>
    </r>
    <r>
      <rPr>
        <sz val="10"/>
        <color theme="1"/>
        <rFont val="Noto Sans CJK SC"/>
        <family val="2"/>
      </rPr>
      <t>분</t>
    </r>
  </si>
  <si>
    <t>2026-08-18 12:56</t>
  </si>
  <si>
    <r>
      <rPr>
        <sz val="10"/>
        <color theme="1"/>
        <rFont val="Noto Sans CJK SC"/>
        <family val="2"/>
      </rPr>
      <t>전 구간</t>
    </r>
    <r>
      <rPr>
        <sz val="10"/>
        <color theme="1"/>
        <rFont val="Arial"/>
        <family val="2"/>
      </rPr>
      <t>(</t>
    </r>
    <r>
      <rPr>
        <sz val="10"/>
        <color theme="1"/>
        <rFont val="Noto Sans CJK SC"/>
        <family val="2"/>
      </rPr>
      <t>크랭크→</t>
    </r>
    <r>
      <rPr>
        <sz val="10"/>
        <color theme="1"/>
        <rFont val="Arial"/>
        <family val="2"/>
      </rPr>
      <t>S</t>
    </r>
    <r>
      <rPr>
        <sz val="10"/>
        <color theme="1"/>
        <rFont val="Noto Sans CJK SC"/>
        <family val="2"/>
      </rPr>
      <t>자→신호대기→가속→주차</t>
    </r>
    <r>
      <rPr>
        <sz val="10"/>
        <color theme="1"/>
        <rFont val="Arial"/>
        <family val="2"/>
      </rPr>
      <t xml:space="preserve">) PASS, </t>
    </r>
    <r>
      <rPr>
        <sz val="10"/>
        <color theme="1"/>
        <rFont val="Noto Sans CJK SC"/>
        <family val="2"/>
      </rPr>
      <t xml:space="preserve">총 소요시간 </t>
    </r>
    <r>
      <rPr>
        <sz val="10"/>
        <color theme="1"/>
        <rFont val="Arial"/>
        <family val="2"/>
      </rPr>
      <t>4.7</t>
    </r>
    <r>
      <rPr>
        <sz val="10"/>
        <color theme="1"/>
        <rFont val="Noto Sans CJK SC"/>
        <family val="2"/>
      </rPr>
      <t>분</t>
    </r>
  </si>
  <si>
    <t>2026-08-18 13:35</t>
  </si>
  <si>
    <t>2026-08-18 14:20</t>
  </si>
  <si>
    <r>
      <rPr>
        <sz val="10"/>
        <color theme="1"/>
        <rFont val="Noto Sans CJK SC"/>
        <family val="2"/>
      </rPr>
      <t>전 구간</t>
    </r>
    <r>
      <rPr>
        <sz val="10"/>
        <color theme="1"/>
        <rFont val="Arial"/>
        <family val="2"/>
      </rPr>
      <t>(</t>
    </r>
    <r>
      <rPr>
        <sz val="10"/>
        <color theme="1"/>
        <rFont val="Noto Sans CJK SC"/>
        <family val="2"/>
      </rPr>
      <t>크랭크→</t>
    </r>
    <r>
      <rPr>
        <sz val="10"/>
        <color theme="1"/>
        <rFont val="Arial"/>
        <family val="2"/>
      </rPr>
      <t>S</t>
    </r>
    <r>
      <rPr>
        <sz val="10"/>
        <color theme="1"/>
        <rFont val="Noto Sans CJK SC"/>
        <family val="2"/>
      </rPr>
      <t>자→신호대기→가속→주차</t>
    </r>
    <r>
      <rPr>
        <sz val="10"/>
        <color theme="1"/>
        <rFont val="Arial"/>
        <family val="2"/>
      </rPr>
      <t xml:space="preserve">) PASS, </t>
    </r>
    <r>
      <rPr>
        <sz val="10"/>
        <color theme="1"/>
        <rFont val="Noto Sans CJK SC"/>
        <family val="2"/>
      </rPr>
      <t xml:space="preserve">총 소요시간 </t>
    </r>
    <r>
      <rPr>
        <sz val="10"/>
        <color theme="1"/>
        <rFont val="Arial"/>
        <family val="2"/>
      </rPr>
      <t>4.8</t>
    </r>
    <r>
      <rPr>
        <sz val="10"/>
        <color theme="1"/>
        <rFont val="Noto Sans CJK SC"/>
        <family val="2"/>
      </rPr>
      <t>분</t>
    </r>
  </si>
  <si>
    <t>2026-08-18 14:55</t>
  </si>
  <si>
    <r>
      <rPr>
        <sz val="10"/>
        <color theme="1"/>
        <rFont val="Noto Sans CJK SC"/>
        <family val="2"/>
      </rPr>
      <t>전 구간</t>
    </r>
    <r>
      <rPr>
        <sz val="10"/>
        <color theme="1"/>
        <rFont val="Arial"/>
        <family val="2"/>
      </rPr>
      <t>(</t>
    </r>
    <r>
      <rPr>
        <sz val="10"/>
        <color theme="1"/>
        <rFont val="Noto Sans CJK SC"/>
        <family val="2"/>
      </rPr>
      <t>크랭크→</t>
    </r>
    <r>
      <rPr>
        <sz val="10"/>
        <color theme="1"/>
        <rFont val="Arial"/>
        <family val="2"/>
      </rPr>
      <t>S</t>
    </r>
    <r>
      <rPr>
        <sz val="10"/>
        <color theme="1"/>
        <rFont val="Noto Sans CJK SC"/>
        <family val="2"/>
      </rPr>
      <t>자→신호대기→가속→주차</t>
    </r>
    <r>
      <rPr>
        <sz val="10"/>
        <color theme="1"/>
        <rFont val="Arial"/>
        <family val="2"/>
      </rPr>
      <t xml:space="preserve">) PASS, </t>
    </r>
    <r>
      <rPr>
        <sz val="10"/>
        <color theme="1"/>
        <rFont val="Noto Sans CJK SC"/>
        <family val="2"/>
      </rPr>
      <t xml:space="preserve">총 소요시간 </t>
    </r>
    <r>
      <rPr>
        <sz val="10"/>
        <color theme="1"/>
        <rFont val="Arial"/>
        <family val="2"/>
      </rPr>
      <t>6.5</t>
    </r>
    <r>
      <rPr>
        <sz val="10"/>
        <color theme="1"/>
        <rFont val="Noto Sans CJK SC"/>
        <family val="2"/>
      </rPr>
      <t>분</t>
    </r>
  </si>
  <si>
    <t>2026-08-18 15:30</t>
  </si>
  <si>
    <r>
      <rPr>
        <b/>
        <sz val="11"/>
        <color rgb="FFFFFFFF"/>
        <rFont val="Noto Sans CJK SC"/>
        <family val="2"/>
      </rPr>
      <t>주요 관련 코드</t>
    </r>
    <r>
      <rPr>
        <b/>
        <sz val="11"/>
        <color rgb="FFFFFFFF"/>
        <rFont val="Noto Sans"/>
        <family val="3"/>
        <charset val="129"/>
      </rPr>
      <t>/</t>
    </r>
    <r>
      <rPr>
        <b/>
        <sz val="11"/>
        <color rgb="FFFFFFFF"/>
        <rFont val="Noto Sans CJK SC"/>
        <family val="2"/>
      </rPr>
      <t xml:space="preserve">모듈 </t>
    </r>
    <r>
      <rPr>
        <b/>
        <sz val="11"/>
        <color rgb="FFFFFFFF"/>
        <rFont val="Noto Sans"/>
        <family val="3"/>
        <charset val="129"/>
      </rPr>
      <t>(driving_waypoint_node.py)</t>
    </r>
  </si>
  <si>
    <r>
      <rPr>
        <b/>
        <sz val="11"/>
        <color rgb="FFFFFFFF"/>
        <rFont val="Noto Sans CJK SC"/>
        <family val="2"/>
      </rPr>
      <t xml:space="preserve">관련 </t>
    </r>
    <r>
      <rPr>
        <b/>
        <sz val="11"/>
        <color rgb="FFFFFFFF"/>
        <rFont val="Noto Sans"/>
        <family val="3"/>
        <charset val="129"/>
      </rPr>
      <t>UR(</t>
    </r>
    <r>
      <rPr>
        <b/>
        <sz val="11"/>
        <color rgb="FFFFFFFF"/>
        <rFont val="Noto Sans CJK SC"/>
        <family val="2"/>
      </rPr>
      <t>요구사항</t>
    </r>
    <r>
      <rPr>
        <b/>
        <sz val="11"/>
        <color rgb="FFFFFFFF"/>
        <rFont val="Noto Sans"/>
        <family val="3"/>
        <charset val="129"/>
      </rPr>
      <t>ID)</t>
    </r>
  </si>
  <si>
    <t>UR-003</t>
  </si>
  <si>
    <r>
      <rPr>
        <sz val="9"/>
        <color theme="1"/>
        <rFont val="Arial"/>
        <family val="2"/>
      </rPr>
      <t xml:space="preserve">s_course_control_loop / _detect_s_line_offset / _on_s_course_done (PID </t>
    </r>
    <r>
      <rPr>
        <sz val="9"/>
        <color theme="1"/>
        <rFont val="Noto Sans CJK SC"/>
        <family val="2"/>
      </rPr>
      <t>조향</t>
    </r>
    <r>
      <rPr>
        <sz val="9"/>
        <color theme="1"/>
        <rFont val="Arial"/>
        <family val="2"/>
      </rPr>
      <t>, S_ANGULAR_GAIN)</t>
    </r>
  </si>
  <si>
    <t>UR-004</t>
  </si>
  <si>
    <r>
      <rPr>
        <sz val="9"/>
        <color theme="1"/>
        <rFont val="Arial"/>
        <family val="2"/>
      </rPr>
      <t xml:space="preserve">_check_crank_arrival / _check_s_course_arrival / on_nav_result </t>
    </r>
    <r>
      <rPr>
        <sz val="9"/>
        <color theme="1"/>
        <rFont val="Noto Sans CJK SC"/>
        <family val="2"/>
      </rPr>
      <t>도착판정</t>
    </r>
  </si>
  <si>
    <t>UR-002</t>
  </si>
  <si>
    <r>
      <rPr>
        <sz val="9"/>
        <color theme="1"/>
        <rFont val="Arial"/>
        <family val="2"/>
      </rPr>
      <t xml:space="preserve">set_inflation_radius_pair / costmap inflation_radius </t>
    </r>
    <r>
      <rPr>
        <sz val="9"/>
        <color theme="1"/>
        <rFont val="Noto Sans CJK SC"/>
        <family val="2"/>
      </rPr>
      <t>파라미터</t>
    </r>
  </si>
  <si>
    <t>UR-005</t>
  </si>
  <si>
    <t>UR-006</t>
  </si>
  <si>
    <t>UR-008</t>
  </si>
  <si>
    <t>UR-007</t>
  </si>
  <si>
    <t>UR-011</t>
  </si>
  <si>
    <t>UR-013</t>
  </si>
  <si>
    <r>
      <rPr>
        <sz val="9"/>
        <color theme="1"/>
        <rFont val="Arial"/>
        <family val="2"/>
      </rPr>
      <t xml:space="preserve">PM2/launch </t>
    </r>
    <r>
      <rPr>
        <sz val="9"/>
        <color theme="1"/>
        <rFont val="Noto Sans CJK SC"/>
        <family val="2"/>
      </rPr>
      <t xml:space="preserve">프로세스 관리 </t>
    </r>
    <r>
      <rPr>
        <sz val="9"/>
        <color theme="1"/>
        <rFont val="Arial"/>
        <family val="2"/>
      </rPr>
      <t>(</t>
    </r>
    <r>
      <rPr>
        <sz val="9"/>
        <color theme="1"/>
        <rFont val="Noto Sans CJK SC"/>
        <family val="2"/>
      </rPr>
      <t>노드 외부 영역</t>
    </r>
    <r>
      <rPr>
        <sz val="9"/>
        <color theme="1"/>
        <rFont val="Arial"/>
        <family val="2"/>
      </rPr>
      <t xml:space="preserve">, driving_node </t>
    </r>
    <r>
      <rPr>
        <sz val="9"/>
        <color theme="1"/>
        <rFont val="Noto Sans CJK SC"/>
        <family val="2"/>
      </rPr>
      <t>자체 로직 아님</t>
    </r>
    <r>
      <rPr>
        <sz val="9"/>
        <color theme="1"/>
        <rFont val="Arial"/>
        <family val="2"/>
      </rPr>
      <t>)</t>
    </r>
  </si>
  <si>
    <t>UR-009</t>
  </si>
  <si>
    <r>
      <rPr>
        <sz val="10"/>
        <color theme="1"/>
        <rFont val="Noto Sans"/>
        <family val="3"/>
        <charset val="129"/>
      </rPr>
      <t xml:space="preserve">PM2 </t>
    </r>
    <r>
      <rPr>
        <sz val="10"/>
        <color theme="1"/>
        <rFont val="Noto Sans CJK SC"/>
        <family val="2"/>
      </rPr>
      <t>전원 인가</t>
    </r>
  </si>
  <si>
    <r>
      <rPr>
        <sz val="9"/>
        <color theme="1"/>
        <rFont val="Arial"/>
        <family val="2"/>
      </rPr>
      <t>on_startup / _try_start / _do_start (</t>
    </r>
    <r>
      <rPr>
        <sz val="9"/>
        <color theme="1"/>
        <rFont val="Noto Sans CJK SC"/>
        <family val="2"/>
      </rPr>
      <t>구독자</t>
    </r>
    <r>
      <rPr>
        <sz val="9"/>
        <color theme="1"/>
        <rFont val="Arial"/>
        <family val="2"/>
      </rPr>
      <t xml:space="preserve">·TF·AMCL </t>
    </r>
    <r>
      <rPr>
        <sz val="9"/>
        <color theme="1"/>
        <rFont val="Noto Sans CJK SC"/>
        <family val="2"/>
      </rPr>
      <t>준비 대기</t>
    </r>
    <r>
      <rPr>
        <sz val="9"/>
        <color theme="1"/>
        <rFont val="Arial"/>
        <family val="2"/>
      </rPr>
      <t>)</t>
    </r>
  </si>
  <si>
    <t>UR-001</t>
  </si>
  <si>
    <r>
      <rPr>
        <sz val="9"/>
        <color theme="1"/>
        <rFont val="Arial"/>
        <family val="2"/>
      </rPr>
      <t xml:space="preserve">DrivingNode </t>
    </r>
    <r>
      <rPr>
        <sz val="9"/>
        <color theme="1"/>
        <rFont val="Noto Sans CJK SC"/>
        <family val="2"/>
      </rPr>
      <t xml:space="preserve">전체 상태머신 </t>
    </r>
    <r>
      <rPr>
        <sz val="9"/>
        <color theme="1"/>
        <rFont val="Arial"/>
        <family val="2"/>
      </rPr>
      <t>(NAV_ARRIVAL_TRANSITIONS, stage_results, _announce_final_result)</t>
    </r>
  </si>
  <si>
    <r>
      <rPr>
        <sz val="10"/>
        <color theme="1"/>
        <rFont val="Noto Sans"/>
        <family val="3"/>
        <charset val="129"/>
      </rPr>
      <t>UR-001~UR-014 (</t>
    </r>
    <r>
      <rPr>
        <sz val="10"/>
        <color theme="1"/>
        <rFont val="Noto Sans CJK SC"/>
        <family val="2"/>
      </rPr>
      <t>전체</t>
    </r>
    <r>
      <rPr>
        <sz val="10"/>
        <color theme="1"/>
        <rFont val="Noto Sans"/>
        <family val="3"/>
        <charset val="129"/>
      </rPr>
      <t>)</t>
    </r>
  </si>
  <si>
    <r>
      <t>타임아웃</t>
    </r>
    <r>
      <rPr>
        <sz val="10"/>
        <color theme="1"/>
        <rFont val="Noto Sans CJK SC"/>
        <family val="2"/>
      </rPr>
      <t>(</t>
    </r>
    <r>
      <rPr>
        <sz val="10"/>
        <color theme="1"/>
        <rFont val="돋움"/>
        <family val="3"/>
        <charset val="129"/>
      </rPr>
      <t>제한시간</t>
    </r>
    <r>
      <rPr>
        <sz val="10"/>
        <color theme="1"/>
        <rFont val="Noto Sans CJK SC"/>
        <family val="2"/>
      </rPr>
      <t xml:space="preserve"> </t>
    </r>
    <r>
      <rPr>
        <sz val="10"/>
        <color theme="1"/>
        <rFont val="돋움"/>
        <family val="3"/>
        <charset val="129"/>
      </rPr>
      <t>초과</t>
    </r>
    <r>
      <rPr>
        <sz val="10"/>
        <color theme="1"/>
        <rFont val="Noto Sans CJK SC"/>
        <family val="2"/>
      </rPr>
      <t>)</t>
    </r>
  </si>
  <si>
    <r>
      <t xml:space="preserve">GREEN_LOWER/HIGHER HSV </t>
    </r>
    <r>
      <rPr>
        <sz val="10"/>
        <color theme="1"/>
        <rFont val="돋움"/>
        <family val="3"/>
        <charset val="129"/>
      </rPr>
      <t>임계값이</t>
    </r>
    <r>
      <rPr>
        <sz val="10"/>
        <color theme="1"/>
        <rFont val="Noto Sans CJK SC"/>
        <family val="2"/>
      </rPr>
      <t xml:space="preserve"> </t>
    </r>
    <r>
      <rPr>
        <sz val="10"/>
        <color theme="1"/>
        <rFont val="돋움"/>
        <family val="3"/>
        <charset val="129"/>
      </rPr>
      <t>좁게</t>
    </r>
    <r>
      <rPr>
        <sz val="10"/>
        <color theme="1"/>
        <rFont val="Noto Sans CJK SC"/>
        <family val="2"/>
      </rPr>
      <t xml:space="preserve"> </t>
    </r>
    <r>
      <rPr>
        <sz val="10"/>
        <color theme="1"/>
        <rFont val="돋움"/>
        <family val="3"/>
        <charset val="129"/>
      </rPr>
      <t>설정되어</t>
    </r>
    <r>
      <rPr>
        <sz val="10"/>
        <color theme="1"/>
        <rFont val="Noto Sans CJK SC"/>
        <family val="2"/>
      </rPr>
      <t xml:space="preserve"> </t>
    </r>
    <r>
      <rPr>
        <sz val="10"/>
        <color theme="1"/>
        <rFont val="돋움"/>
        <family val="3"/>
        <charset val="129"/>
      </rPr>
      <t>조명</t>
    </r>
    <r>
      <rPr>
        <sz val="10"/>
        <color theme="1"/>
        <rFont val="Noto Sans CJK SC"/>
        <family val="2"/>
      </rPr>
      <t xml:space="preserve"> </t>
    </r>
    <r>
      <rPr>
        <sz val="10"/>
        <color theme="1"/>
        <rFont val="돋움"/>
        <family val="3"/>
        <charset val="129"/>
      </rPr>
      <t>변화</t>
    </r>
    <r>
      <rPr>
        <sz val="10"/>
        <color theme="1"/>
        <rFont val="Noto Sans CJK SC"/>
        <family val="2"/>
      </rPr>
      <t xml:space="preserve"> </t>
    </r>
    <r>
      <rPr>
        <sz val="10"/>
        <color theme="1"/>
        <rFont val="돋움"/>
        <family val="3"/>
        <charset val="129"/>
      </rPr>
      <t>시</t>
    </r>
    <r>
      <rPr>
        <sz val="10"/>
        <color theme="1"/>
        <rFont val="Noto Sans CJK SC"/>
        <family val="2"/>
      </rPr>
      <t xml:space="preserve"> </t>
    </r>
    <r>
      <rPr>
        <sz val="10"/>
        <color theme="1"/>
        <rFont val="돋움"/>
        <family val="3"/>
        <charset val="129"/>
      </rPr>
      <t>인식</t>
    </r>
    <r>
      <rPr>
        <sz val="10"/>
        <color theme="1"/>
        <rFont val="Noto Sans CJK SC"/>
        <family val="2"/>
      </rPr>
      <t xml:space="preserve"> </t>
    </r>
    <r>
      <rPr>
        <sz val="10"/>
        <color theme="1"/>
        <rFont val="돋움"/>
        <family val="3"/>
        <charset val="129"/>
      </rPr>
      <t>지연</t>
    </r>
    <r>
      <rPr>
        <sz val="10"/>
        <color theme="1"/>
        <rFont val="Noto Sans CJK SC"/>
        <family val="2"/>
      </rPr>
      <t xml:space="preserve"> </t>
    </r>
    <r>
      <rPr>
        <sz val="10"/>
        <color theme="1"/>
        <rFont val="돋움"/>
        <family val="3"/>
        <charset val="129"/>
      </rPr>
      <t>발생</t>
    </r>
  </si>
  <si>
    <r>
      <t xml:space="preserve">5.6s </t>
    </r>
    <r>
      <rPr>
        <sz val="10"/>
        <color theme="1"/>
        <rFont val="맑은 고딕"/>
        <family val="3"/>
        <charset val="129"/>
      </rPr>
      <t>경과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후에도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초록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"/>
        <family val="3"/>
        <charset val="129"/>
      </rPr>
      <t>3</t>
    </r>
    <r>
      <rPr>
        <sz val="10"/>
        <color theme="1"/>
        <rFont val="맑은 고딕"/>
        <family val="3"/>
        <charset val="129"/>
      </rPr>
      <t>프레임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미인식</t>
    </r>
    <phoneticPr fontId="25" type="noConversion"/>
  </si>
  <si>
    <t>5.2s 경과 후에도 초록 3프레임 미인식</t>
    <phoneticPr fontId="25" type="noConversion"/>
  </si>
  <si>
    <r>
      <t>장애물</t>
    </r>
    <r>
      <rPr>
        <sz val="10"/>
        <color theme="1"/>
        <rFont val="Noto Sans CJK SC"/>
        <family val="3"/>
        <charset val="129"/>
      </rPr>
      <t xml:space="preserve"> 2.3cm </t>
    </r>
    <r>
      <rPr>
        <sz val="10"/>
        <color theme="1"/>
        <rFont val="돋움"/>
        <family val="3"/>
        <charset val="129"/>
      </rPr>
      <t>지점에서</t>
    </r>
    <r>
      <rPr>
        <sz val="10"/>
        <color theme="1"/>
        <rFont val="Noto Sans CJK SC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정지</t>
    </r>
    <r>
      <rPr>
        <sz val="10"/>
        <color theme="1"/>
        <rFont val="Noto Sans CJK SC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성공</t>
    </r>
    <r>
      <rPr>
        <sz val="10"/>
        <color theme="1"/>
        <rFont val="Noto Sans CJK SC"/>
        <family val="3"/>
        <charset val="129"/>
      </rPr>
      <t>(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Noto Sans CJK SC"/>
        <family val="3"/>
        <charset val="129"/>
      </rPr>
      <t xml:space="preserve"> 5cm </t>
    </r>
    <r>
      <rPr>
        <sz val="10"/>
        <color theme="1"/>
        <rFont val="돋움"/>
        <family val="3"/>
        <charset val="129"/>
      </rPr>
      <t>이내</t>
    </r>
    <r>
      <rPr>
        <sz val="10"/>
        <color theme="1"/>
        <rFont val="Noto Sans CJK SC"/>
        <family val="3"/>
        <charset val="129"/>
      </rPr>
      <t>)</t>
    </r>
    <phoneticPr fontId="25" type="noConversion"/>
  </si>
  <si>
    <r>
      <t>장애물</t>
    </r>
    <r>
      <rPr>
        <sz val="10"/>
        <color theme="1"/>
        <rFont val="Noto Sans CJK SC"/>
        <family val="3"/>
        <charset val="129"/>
      </rPr>
      <t xml:space="preserve"> 2.9cm </t>
    </r>
    <r>
      <rPr>
        <sz val="10"/>
        <color theme="1"/>
        <rFont val="돋움"/>
        <family val="3"/>
        <charset val="129"/>
      </rPr>
      <t>지점에서</t>
    </r>
    <r>
      <rPr>
        <sz val="10"/>
        <color theme="1"/>
        <rFont val="Noto Sans CJK SC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정지</t>
    </r>
    <r>
      <rPr>
        <sz val="10"/>
        <color theme="1"/>
        <rFont val="Noto Sans CJK SC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성공</t>
    </r>
    <r>
      <rPr>
        <sz val="10"/>
        <color theme="1"/>
        <rFont val="Noto Sans CJK SC"/>
        <family val="3"/>
        <charset val="129"/>
      </rPr>
      <t>(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Noto Sans CJK SC"/>
        <family val="3"/>
        <charset val="129"/>
      </rPr>
      <t xml:space="preserve"> 6cm </t>
    </r>
    <r>
      <rPr>
        <sz val="10"/>
        <color theme="1"/>
        <rFont val="맑은 고딕"/>
        <family val="3"/>
        <charset val="129"/>
      </rPr>
      <t>이내</t>
    </r>
    <r>
      <rPr>
        <sz val="10"/>
        <color theme="1"/>
        <rFont val="Arial"/>
        <family val="2"/>
      </rPr>
      <t>)</t>
    </r>
    <phoneticPr fontId="25" type="noConversion"/>
  </si>
  <si>
    <r>
      <t>장애물</t>
    </r>
    <r>
      <rPr>
        <sz val="10"/>
        <color theme="1"/>
        <rFont val="Noto Sans CJK SC"/>
        <family val="3"/>
        <charset val="129"/>
      </rPr>
      <t xml:space="preserve"> 4.9cm </t>
    </r>
    <r>
      <rPr>
        <sz val="10"/>
        <color theme="1"/>
        <rFont val="돋움"/>
        <family val="3"/>
        <charset val="129"/>
      </rPr>
      <t>지점에서</t>
    </r>
    <r>
      <rPr>
        <sz val="10"/>
        <color theme="1"/>
        <rFont val="Noto Sans CJK SC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정지</t>
    </r>
    <r>
      <rPr>
        <sz val="10"/>
        <color theme="1"/>
        <rFont val="Noto Sans CJK SC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성공</t>
    </r>
    <r>
      <rPr>
        <sz val="10"/>
        <color theme="1"/>
        <rFont val="Noto Sans CJK SC"/>
        <family val="3"/>
        <charset val="129"/>
      </rPr>
      <t>(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Noto Sans CJK SC"/>
        <family val="3"/>
        <charset val="129"/>
      </rPr>
      <t xml:space="preserve"> 7cm </t>
    </r>
    <r>
      <rPr>
        <sz val="10"/>
        <color theme="1"/>
        <rFont val="맑은 고딕"/>
        <family val="3"/>
        <charset val="129"/>
      </rPr>
      <t>이내</t>
    </r>
    <r>
      <rPr>
        <sz val="10"/>
        <color theme="1"/>
        <rFont val="Arial"/>
        <family val="2"/>
      </rPr>
      <t>)</t>
    </r>
    <phoneticPr fontId="25" type="noConversion"/>
  </si>
  <si>
    <r>
      <t>장애물</t>
    </r>
    <r>
      <rPr>
        <sz val="10"/>
        <color theme="1"/>
        <rFont val="Noto Sans CJK SC"/>
        <family val="3"/>
        <charset val="129"/>
      </rPr>
      <t xml:space="preserve"> 2.2cm </t>
    </r>
    <r>
      <rPr>
        <sz val="10"/>
        <color theme="1"/>
        <rFont val="돋움"/>
        <family val="3"/>
        <charset val="129"/>
      </rPr>
      <t>지점에서</t>
    </r>
    <r>
      <rPr>
        <sz val="10"/>
        <color theme="1"/>
        <rFont val="Noto Sans CJK SC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정지</t>
    </r>
    <r>
      <rPr>
        <sz val="10"/>
        <color theme="1"/>
        <rFont val="Noto Sans CJK SC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성공</t>
    </r>
    <r>
      <rPr>
        <sz val="10"/>
        <color theme="1"/>
        <rFont val="Noto Sans CJK SC"/>
        <family val="3"/>
        <charset val="129"/>
      </rPr>
      <t>(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Noto Sans CJK SC"/>
        <family val="3"/>
        <charset val="129"/>
      </rPr>
      <t xml:space="preserve"> 8cm </t>
    </r>
    <r>
      <rPr>
        <sz val="10"/>
        <color theme="1"/>
        <rFont val="맑은 고딕"/>
        <family val="3"/>
        <charset val="129"/>
      </rPr>
      <t>이내</t>
    </r>
    <r>
      <rPr>
        <sz val="10"/>
        <color theme="1"/>
        <rFont val="Arial"/>
        <family val="2"/>
      </rPr>
      <t>)</t>
    </r>
    <phoneticPr fontId="25" type="noConversion"/>
  </si>
  <si>
    <r>
      <t>장애물</t>
    </r>
    <r>
      <rPr>
        <sz val="10"/>
        <color theme="1"/>
        <rFont val="Noto Sans CJK SC"/>
        <family val="3"/>
        <charset val="129"/>
      </rPr>
      <t xml:space="preserve"> 3.8cm </t>
    </r>
    <r>
      <rPr>
        <sz val="10"/>
        <color theme="1"/>
        <rFont val="돋움"/>
        <family val="3"/>
        <charset val="129"/>
      </rPr>
      <t>지점에서</t>
    </r>
    <r>
      <rPr>
        <sz val="10"/>
        <color theme="1"/>
        <rFont val="Noto Sans CJK SC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정지</t>
    </r>
    <r>
      <rPr>
        <sz val="10"/>
        <color theme="1"/>
        <rFont val="Noto Sans CJK SC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성공</t>
    </r>
    <r>
      <rPr>
        <sz val="10"/>
        <color theme="1"/>
        <rFont val="Noto Sans CJK SC"/>
        <family val="3"/>
        <charset val="129"/>
      </rPr>
      <t>(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Noto Sans CJK SC"/>
        <family val="3"/>
        <charset val="129"/>
      </rPr>
      <t xml:space="preserve"> 9cm </t>
    </r>
    <r>
      <rPr>
        <sz val="10"/>
        <color theme="1"/>
        <rFont val="맑은 고딕"/>
        <family val="3"/>
        <charset val="129"/>
      </rPr>
      <t>이내</t>
    </r>
    <r>
      <rPr>
        <sz val="10"/>
        <color theme="1"/>
        <rFont val="Arial"/>
        <family val="2"/>
      </rPr>
      <t>)</t>
    </r>
    <phoneticPr fontId="25" type="noConversion"/>
  </si>
  <si>
    <r>
      <t>장애물</t>
    </r>
    <r>
      <rPr>
        <sz val="10"/>
        <color theme="1"/>
        <rFont val="Noto Sans CJK SC"/>
        <family val="3"/>
        <charset val="129"/>
      </rPr>
      <t xml:space="preserve"> 2.3cm </t>
    </r>
    <r>
      <rPr>
        <sz val="10"/>
        <color theme="1"/>
        <rFont val="돋움"/>
        <family val="3"/>
        <charset val="129"/>
      </rPr>
      <t>지점에서</t>
    </r>
    <r>
      <rPr>
        <sz val="10"/>
        <color theme="1"/>
        <rFont val="Noto Sans CJK SC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정지</t>
    </r>
    <r>
      <rPr>
        <sz val="10"/>
        <color theme="1"/>
        <rFont val="Noto Sans CJK SC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성공</t>
    </r>
    <r>
      <rPr>
        <sz val="10"/>
        <color theme="1"/>
        <rFont val="Noto Sans CJK SC"/>
        <family val="3"/>
        <charset val="129"/>
      </rPr>
      <t>(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Noto Sans CJK SC"/>
        <family val="3"/>
        <charset val="129"/>
      </rPr>
      <t xml:space="preserve"> 10cm </t>
    </r>
    <r>
      <rPr>
        <sz val="10"/>
        <color theme="1"/>
        <rFont val="맑은 고딕"/>
        <family val="3"/>
        <charset val="129"/>
      </rPr>
      <t>이내</t>
    </r>
    <r>
      <rPr>
        <sz val="10"/>
        <color theme="1"/>
        <rFont val="Arial"/>
        <family val="2"/>
      </rPr>
      <t>)</t>
    </r>
    <phoneticPr fontId="25" type="noConversion"/>
  </si>
  <si>
    <r>
      <t>장애물</t>
    </r>
    <r>
      <rPr>
        <sz val="10"/>
        <color theme="1"/>
        <rFont val="Noto Sans CJK SC"/>
        <family val="3"/>
        <charset val="129"/>
      </rPr>
      <t xml:space="preserve"> 2.8cm </t>
    </r>
    <r>
      <rPr>
        <sz val="10"/>
        <color theme="1"/>
        <rFont val="돋움"/>
        <family val="3"/>
        <charset val="129"/>
      </rPr>
      <t>지점에서</t>
    </r>
    <r>
      <rPr>
        <sz val="10"/>
        <color theme="1"/>
        <rFont val="Noto Sans CJK SC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정지</t>
    </r>
    <r>
      <rPr>
        <sz val="10"/>
        <color theme="1"/>
        <rFont val="Noto Sans CJK SC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성공</t>
    </r>
    <r>
      <rPr>
        <sz val="10"/>
        <color theme="1"/>
        <rFont val="Noto Sans CJK SC"/>
        <family val="3"/>
        <charset val="129"/>
      </rPr>
      <t>(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Noto Sans CJK SC"/>
        <family val="3"/>
        <charset val="129"/>
      </rPr>
      <t xml:space="preserve"> 11cm </t>
    </r>
    <r>
      <rPr>
        <sz val="10"/>
        <color theme="1"/>
        <rFont val="맑은 고딕"/>
        <family val="3"/>
        <charset val="129"/>
      </rPr>
      <t>이내</t>
    </r>
    <r>
      <rPr>
        <sz val="10"/>
        <color theme="1"/>
        <rFont val="Arial"/>
        <family val="2"/>
      </rPr>
      <t>)</t>
    </r>
    <phoneticPr fontId="25" type="noConversion"/>
  </si>
  <si>
    <r>
      <t>장애물</t>
    </r>
    <r>
      <rPr>
        <sz val="10"/>
        <color theme="1"/>
        <rFont val="Noto Sans CJK SC"/>
        <family val="3"/>
        <charset val="129"/>
      </rPr>
      <t xml:space="preserve"> 4.1cm </t>
    </r>
    <r>
      <rPr>
        <sz val="10"/>
        <color theme="1"/>
        <rFont val="돋움"/>
        <family val="3"/>
        <charset val="129"/>
      </rPr>
      <t>지점에서</t>
    </r>
    <r>
      <rPr>
        <sz val="10"/>
        <color theme="1"/>
        <rFont val="Noto Sans CJK SC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정지</t>
    </r>
    <r>
      <rPr>
        <sz val="10"/>
        <color theme="1"/>
        <rFont val="Noto Sans CJK SC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성공</t>
    </r>
    <r>
      <rPr>
        <sz val="10"/>
        <color theme="1"/>
        <rFont val="Noto Sans CJK SC"/>
        <family val="3"/>
        <charset val="129"/>
      </rPr>
      <t>(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Noto Sans CJK SC"/>
        <family val="3"/>
        <charset val="129"/>
      </rPr>
      <t xml:space="preserve"> 12cm </t>
    </r>
    <r>
      <rPr>
        <sz val="10"/>
        <color theme="1"/>
        <rFont val="맑은 고딕"/>
        <family val="3"/>
        <charset val="129"/>
      </rPr>
      <t>이내</t>
    </r>
    <r>
      <rPr>
        <sz val="10"/>
        <color theme="1"/>
        <rFont val="Arial"/>
        <family val="2"/>
      </rPr>
      <t>)</t>
    </r>
    <phoneticPr fontId="25" type="noConversion"/>
  </si>
  <si>
    <r>
      <t>장애물</t>
    </r>
    <r>
      <rPr>
        <sz val="10"/>
        <color theme="1"/>
        <rFont val="Noto Sans CJK SC"/>
        <family val="3"/>
        <charset val="129"/>
      </rPr>
      <t xml:space="preserve"> 4.0cm </t>
    </r>
    <r>
      <rPr>
        <sz val="10"/>
        <color theme="1"/>
        <rFont val="돋움"/>
        <family val="3"/>
        <charset val="129"/>
      </rPr>
      <t>지점에서</t>
    </r>
    <r>
      <rPr>
        <sz val="10"/>
        <color theme="1"/>
        <rFont val="Noto Sans CJK SC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정지</t>
    </r>
    <r>
      <rPr>
        <sz val="10"/>
        <color theme="1"/>
        <rFont val="Noto Sans CJK SC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성공</t>
    </r>
    <r>
      <rPr>
        <sz val="10"/>
        <color theme="1"/>
        <rFont val="Noto Sans CJK SC"/>
        <family val="3"/>
        <charset val="129"/>
      </rPr>
      <t>(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Noto Sans CJK SC"/>
        <family val="3"/>
        <charset val="129"/>
      </rPr>
      <t xml:space="preserve"> 13cm </t>
    </r>
    <r>
      <rPr>
        <sz val="10"/>
        <color theme="1"/>
        <rFont val="맑은 고딕"/>
        <family val="3"/>
        <charset val="129"/>
      </rPr>
      <t>이내</t>
    </r>
    <r>
      <rPr>
        <sz val="10"/>
        <color theme="1"/>
        <rFont val="Arial"/>
        <family val="2"/>
      </rPr>
      <t>)</t>
    </r>
    <phoneticPr fontId="25" type="noConversion"/>
  </si>
  <si>
    <r>
      <t>장애물</t>
    </r>
    <r>
      <rPr>
        <sz val="10"/>
        <color theme="1"/>
        <rFont val="Noto Sans CJK SC"/>
        <family val="3"/>
        <charset val="129"/>
      </rPr>
      <t xml:space="preserve"> 4.5cm </t>
    </r>
    <r>
      <rPr>
        <sz val="10"/>
        <color theme="1"/>
        <rFont val="돋움"/>
        <family val="3"/>
        <charset val="129"/>
      </rPr>
      <t>지점에서</t>
    </r>
    <r>
      <rPr>
        <sz val="10"/>
        <color theme="1"/>
        <rFont val="Noto Sans CJK SC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정지</t>
    </r>
    <r>
      <rPr>
        <sz val="10"/>
        <color theme="1"/>
        <rFont val="Noto Sans CJK SC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성공</t>
    </r>
    <r>
      <rPr>
        <sz val="10"/>
        <color theme="1"/>
        <rFont val="Noto Sans CJK SC"/>
        <family val="3"/>
        <charset val="129"/>
      </rPr>
      <t>(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Noto Sans CJK SC"/>
        <family val="3"/>
        <charset val="129"/>
      </rPr>
      <t xml:space="preserve"> 14cm </t>
    </r>
    <r>
      <rPr>
        <sz val="10"/>
        <color theme="1"/>
        <rFont val="맑은 고딕"/>
        <family val="3"/>
        <charset val="129"/>
      </rPr>
      <t>이내</t>
    </r>
    <r>
      <rPr>
        <sz val="10"/>
        <color theme="1"/>
        <rFont val="Arial"/>
        <family val="2"/>
      </rPr>
      <t>)</t>
    </r>
    <phoneticPr fontId="25" type="noConversion"/>
  </si>
  <si>
    <t>마커 id 변경으로 마커 인식 실패</t>
    <phoneticPr fontId="25" type="noConversion"/>
  </si>
  <si>
    <r>
      <rPr>
        <sz val="10"/>
        <color theme="1"/>
        <rFont val="맑은 고딕"/>
        <family val="3"/>
        <charset val="129"/>
      </rPr>
      <t>마커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변경으로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"/>
        <family val="3"/>
        <charset val="129"/>
      </rPr>
      <t xml:space="preserve">ID </t>
    </r>
    <r>
      <rPr>
        <sz val="10"/>
        <color theme="1"/>
        <rFont val="맑은 고딕"/>
        <family val="3"/>
        <charset val="129"/>
      </rPr>
      <t>인식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실패</t>
    </r>
    <phoneticPr fontId="25" type="noConversion"/>
  </si>
  <si>
    <r>
      <rPr>
        <sz val="10"/>
        <color theme="1"/>
        <rFont val="맑은 고딕"/>
        <family val="3"/>
        <charset val="129"/>
      </rPr>
      <t>마커가 인식이 안 되어서 시작도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못함</t>
    </r>
    <r>
      <rPr>
        <sz val="10"/>
        <color theme="1"/>
        <rFont val="Arial"/>
        <family val="2"/>
      </rPr>
      <t xml:space="preserve"> </t>
    </r>
    <phoneticPr fontId="25" type="noConversion"/>
  </si>
  <si>
    <t>카메라 인식 실패(HSV/ArUco)</t>
  </si>
  <si>
    <t>김예은   강유나</t>
    <phoneticPr fontId="25" type="noConversion"/>
  </si>
  <si>
    <t xml:space="preserve">크랭크 주행 실패 </t>
    <phoneticPr fontId="25" type="noConversion"/>
  </si>
  <si>
    <t>라인(IR) 이탈/오검출</t>
  </si>
  <si>
    <t xml:space="preserve">크랭크 회전 구간에서 인식 못한 채 직진함 </t>
    <phoneticPr fontId="25" type="noConversion"/>
  </si>
  <si>
    <r>
      <rPr>
        <sz val="10"/>
        <color theme="1"/>
        <rFont val="맑은 고딕"/>
        <family val="3"/>
        <charset val="129"/>
      </rPr>
      <t>종료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오차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"/>
        <family val="3"/>
        <charset val="129"/>
      </rPr>
      <t>1.8cm (</t>
    </r>
    <r>
      <rPr>
        <sz val="10"/>
        <color theme="1"/>
        <rFont val="맑은 고딕"/>
        <family val="3"/>
        <charset val="129"/>
      </rPr>
      <t>목표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"/>
        <family val="3"/>
        <charset val="129"/>
      </rPr>
      <t xml:space="preserve">1cm </t>
    </r>
    <r>
      <rPr>
        <sz val="10"/>
        <color theme="1"/>
        <rFont val="맑은 고딕"/>
        <family val="3"/>
        <charset val="129"/>
      </rPr>
      <t>이하</t>
    </r>
    <r>
      <rPr>
        <sz val="10"/>
        <color theme="1"/>
        <rFont val="Noto Sans"/>
        <family val="3"/>
        <charset val="129"/>
      </rPr>
      <t>)</t>
    </r>
    <phoneticPr fontId="25" type="noConversion"/>
  </si>
  <si>
    <t xml:space="preserve">출발 시 라인 벗어남 </t>
    <phoneticPr fontId="25" type="noConversion"/>
  </si>
  <si>
    <r>
      <rPr>
        <sz val="10"/>
        <color theme="1"/>
        <rFont val="맑은 고딕"/>
        <family val="3"/>
        <charset val="129"/>
      </rPr>
      <t>크랭크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회전</t>
    </r>
    <r>
      <rPr>
        <sz val="10"/>
        <color theme="1"/>
        <rFont val="Noto Sans"/>
        <family val="3"/>
        <charset val="129"/>
      </rPr>
      <t xml:space="preserve">(TURNING) </t>
    </r>
    <r>
      <rPr>
        <sz val="10"/>
        <color theme="1"/>
        <rFont val="맑은 고딕"/>
        <family val="3"/>
        <charset val="129"/>
      </rPr>
      <t>구간에서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"/>
        <family val="3"/>
        <charset val="129"/>
      </rPr>
      <t xml:space="preserve">IR </t>
    </r>
    <r>
      <rPr>
        <sz val="10"/>
        <color theme="1"/>
        <rFont val="맑은 고딕"/>
        <family val="3"/>
        <charset val="129"/>
      </rPr>
      <t>라인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재진입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각도가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어긋나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직진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복귀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오차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누적</t>
    </r>
    <r>
      <rPr>
        <sz val="10"/>
        <color theme="1"/>
        <rFont val="Noto Sans"/>
        <family val="3"/>
        <charset val="129"/>
      </rPr>
      <t xml:space="preserve">, cost_scaling_factor </t>
    </r>
    <r>
      <rPr>
        <sz val="10"/>
        <color theme="1"/>
        <rFont val="맑은 고딕"/>
        <family val="3"/>
        <charset val="129"/>
      </rPr>
      <t>조정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전</t>
    </r>
    <phoneticPr fontId="25" type="noConversion"/>
  </si>
  <si>
    <t>크랭크 회전(TURNING) 구간에서 IR 라인 재진입 각도가 어긋남</t>
    <phoneticPr fontId="25" type="noConversion"/>
  </si>
  <si>
    <r>
      <rPr>
        <sz val="10"/>
        <color theme="1"/>
        <rFont val="맑은 고딕"/>
        <family val="3"/>
        <charset val="129"/>
      </rPr>
      <t>종료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도착 다음 구간 인식 완료 </t>
    </r>
    <phoneticPr fontId="25" type="noConversion"/>
  </si>
  <si>
    <t>S자 후반 곡선 후 다음 구간도착판정 지점을 지나침</t>
    <phoneticPr fontId="25" type="noConversion"/>
  </si>
  <si>
    <r>
      <t>라인을</t>
    </r>
    <r>
      <rPr>
        <sz val="10"/>
        <color theme="1"/>
        <rFont val="굴림"/>
        <family val="3"/>
        <charset val="129"/>
      </rPr>
      <t xml:space="preserve"> 벗어남 offset 값이 오른쪽으로 치우침 </t>
    </r>
    <phoneticPr fontId="25" type="noConversion"/>
  </si>
  <si>
    <r>
      <rPr>
        <sz val="10"/>
        <color theme="1"/>
        <rFont val="맑은 고딕"/>
        <family val="3"/>
        <charset val="129"/>
      </rPr>
      <t>도착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거리오차</t>
    </r>
    <r>
      <rPr>
        <sz val="10"/>
        <color theme="1"/>
        <rFont val="Arial"/>
        <family val="2"/>
      </rPr>
      <t xml:space="preserve"> 60cm(</t>
    </r>
    <r>
      <rPr>
        <sz val="10"/>
        <color theme="1"/>
        <rFont val="맑은 고딕"/>
        <family val="3"/>
        <charset val="129"/>
      </rPr>
      <t>기준</t>
    </r>
    <r>
      <rPr>
        <sz val="10"/>
        <color theme="1"/>
        <rFont val="Arial"/>
        <family val="2"/>
      </rPr>
      <t xml:space="preserve"> 30cm </t>
    </r>
    <r>
      <rPr>
        <sz val="10"/>
        <color theme="1"/>
        <rFont val="맑은 고딕"/>
        <family val="3"/>
        <charset val="129"/>
      </rPr>
      <t>이내</t>
    </r>
    <r>
      <rPr>
        <sz val="10"/>
        <color theme="1"/>
        <rFont val="Arial"/>
        <family val="2"/>
      </rPr>
      <t>)</t>
    </r>
    <phoneticPr fontId="25" type="noConversion"/>
  </si>
  <si>
    <r>
      <rPr>
        <sz val="10"/>
        <color theme="1"/>
        <rFont val="맑은 고딕"/>
        <family val="3"/>
        <charset val="129"/>
      </rPr>
      <t>도착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거리오차</t>
    </r>
    <r>
      <rPr>
        <sz val="10"/>
        <color theme="1"/>
        <rFont val="Arial"/>
        <family val="2"/>
      </rPr>
      <t xml:space="preserve"> 40cm(</t>
    </r>
    <r>
      <rPr>
        <sz val="10"/>
        <color theme="1"/>
        <rFont val="맑은 고딕"/>
        <family val="3"/>
        <charset val="129"/>
      </rPr>
      <t>기준</t>
    </r>
    <r>
      <rPr>
        <sz val="10"/>
        <color theme="1"/>
        <rFont val="Arial"/>
        <family val="2"/>
      </rPr>
      <t xml:space="preserve"> 30cm </t>
    </r>
    <r>
      <rPr>
        <sz val="10"/>
        <color theme="1"/>
        <rFont val="맑은 고딕"/>
        <family val="3"/>
        <charset val="129"/>
      </rPr>
      <t>이내</t>
    </r>
    <r>
      <rPr>
        <sz val="10"/>
        <color theme="1"/>
        <rFont val="Arial"/>
        <family val="2"/>
      </rPr>
      <t>)</t>
    </r>
    <phoneticPr fontId="25" type="noConversion"/>
  </si>
  <si>
    <t>정렬/오차 기준 초과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</si>
</sst>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9">
    <font>
      <sz val="11"/>
      <color theme="1"/>
      <name val="Calibri"/>
      <charset val="1"/>
    </font>
    <font>
      <b/>
      <sz val="14"/>
      <color rgb="FF305496"/>
      <name val="Noto Sans CJK SC"/>
      <family val="2"/>
    </font>
    <font>
      <sz val="11"/>
      <color rgb="FF000000"/>
      <name val="Arial"/>
      <family val="2"/>
    </font>
    <font>
      <sz val="11"/>
      <color rgb="FF000000"/>
      <name val="Noto Sans CJK SC"/>
      <family val="2"/>
    </font>
    <font>
      <sz val="10"/>
      <color rgb="FF000000"/>
      <name val="Arial"/>
      <family val="2"/>
    </font>
    <font>
      <sz val="10"/>
      <color rgb="FF000000"/>
      <name val="Noto Sans CJK SC"/>
      <family val="2"/>
    </font>
    <font>
      <sz val="11"/>
      <color rgb="FF000000"/>
      <name val="Noto Sans"/>
      <family val="3"/>
      <charset val="129"/>
    </font>
    <font>
      <b/>
      <sz val="14"/>
      <color rgb="FF305496"/>
      <name val="Arial"/>
      <family val="2"/>
    </font>
    <font>
      <i/>
      <sz val="10"/>
      <color rgb="FF666666"/>
      <name val="Noto Sans CJK SC"/>
      <family val="2"/>
    </font>
    <font>
      <i/>
      <sz val="10"/>
      <color rgb="FF666666"/>
      <name val="Noto Sans"/>
      <family val="3"/>
      <charset val="129"/>
    </font>
    <font>
      <b/>
      <sz val="11"/>
      <color rgb="FFFFFFFF"/>
      <name val="Noto Sans CJK SC"/>
      <family val="2"/>
    </font>
    <font>
      <b/>
      <sz val="11"/>
      <color rgb="FFFFFFFF"/>
      <name val="Noto Sans"/>
      <family val="3"/>
      <charset val="129"/>
    </font>
    <font>
      <b/>
      <sz val="10"/>
      <color theme="1"/>
      <name val="Arial"/>
      <family val="2"/>
    </font>
    <font>
      <sz val="10"/>
      <color theme="1"/>
      <name val="Noto Sans CJK SC"/>
      <family val="2"/>
    </font>
    <font>
      <sz val="10"/>
      <color theme="1"/>
      <name val="Noto Sans"/>
      <family val="3"/>
      <charset val="129"/>
    </font>
    <font>
      <sz val="10"/>
      <color theme="1"/>
      <name val="Arial"/>
      <family val="2"/>
    </font>
    <font>
      <b/>
      <sz val="10"/>
      <color theme="1"/>
      <name val="Noto Sans CJK SC"/>
      <family val="2"/>
    </font>
    <font>
      <b/>
      <sz val="11"/>
      <color theme="1"/>
      <name val="Arial"/>
      <family val="2"/>
    </font>
    <font>
      <b/>
      <sz val="11"/>
      <color theme="1"/>
      <name val="Noto Sans CJK SC"/>
      <family val="2"/>
    </font>
    <font>
      <b/>
      <sz val="11"/>
      <color theme="1"/>
      <name val="Noto Sans"/>
      <family val="3"/>
      <charset val="129"/>
    </font>
    <font>
      <sz val="9"/>
      <color rgb="FF777777"/>
      <name val="Arial"/>
      <family val="2"/>
    </font>
    <font>
      <sz val="9"/>
      <color rgb="FF777777"/>
      <name val="Noto Sans CJK SC"/>
      <family val="2"/>
    </font>
    <font>
      <sz val="9"/>
      <color theme="1"/>
      <name val="Arial"/>
      <family val="2"/>
    </font>
    <font>
      <sz val="9"/>
      <color theme="1"/>
      <name val="Noto Sans CJK SC"/>
      <family val="2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Noto Sans CJK SC"/>
      <family val="3"/>
      <charset val="129"/>
    </font>
    <font>
      <sz val="10"/>
      <color theme="1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medium">
        <color rgb="FF9AA7C7"/>
      </top>
      <bottom style="thin">
        <color rgb="FFB7B7B7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5" fillId="0" borderId="1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center" vertical="center" wrapText="1"/>
    </xf>
    <xf numFmtId="176" fontId="15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 wrapText="1"/>
    </xf>
    <xf numFmtId="176" fontId="17" fillId="3" borderId="2" xfId="0" applyNumberFormat="1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13" fillId="4" borderId="3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 wrapText="1"/>
    </xf>
    <xf numFmtId="0" fontId="13" fillId="4" borderId="2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left" vertical="top" wrapText="1"/>
    </xf>
    <xf numFmtId="0" fontId="14" fillId="4" borderId="3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left" vertical="top" wrapText="1"/>
    </xf>
    <xf numFmtId="0" fontId="22" fillId="0" borderId="2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left" vertical="top" wrapText="1"/>
    </xf>
    <xf numFmtId="0" fontId="27" fillId="4" borderId="2" xfId="0" applyFont="1" applyFill="1" applyBorder="1" applyAlignment="1">
      <alignment horizontal="left" vertical="top" wrapText="1"/>
    </xf>
    <xf numFmtId="0" fontId="26" fillId="4" borderId="2" xfId="0" applyFont="1" applyFill="1" applyBorder="1" applyAlignment="1">
      <alignment horizontal="left" vertical="top" wrapText="1"/>
    </xf>
    <xf numFmtId="0" fontId="27" fillId="4" borderId="3" xfId="0" applyFont="1" applyFill="1" applyBorder="1" applyAlignment="1">
      <alignment horizontal="left" vertical="top" wrapText="1"/>
    </xf>
    <xf numFmtId="0" fontId="24" fillId="4" borderId="3" xfId="0" applyFont="1" applyFill="1" applyBorder="1" applyAlignment="1">
      <alignment horizontal="left" vertical="top" wrapText="1"/>
    </xf>
    <xf numFmtId="0" fontId="26" fillId="4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77777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AA7C7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showGridLines="0" zoomScaleNormal="100" workbookViewId="0"/>
  </sheetViews>
  <sheetFormatPr defaultColWidth="14.42578125" defaultRowHeight="15"/>
  <cols>
    <col min="1" max="1" width="100" customWidth="1"/>
    <col min="2" max="26" width="8.7109375" customWidth="1"/>
  </cols>
  <sheetData>
    <row r="1" spans="1:1" ht="18">
      <c r="A1" s="7" t="s">
        <v>0</v>
      </c>
    </row>
    <row r="2" spans="1:1">
      <c r="A2" s="8"/>
    </row>
    <row r="3" spans="1:1">
      <c r="A3" s="8" t="s">
        <v>1</v>
      </c>
    </row>
    <row r="4" spans="1:1">
      <c r="A4" s="9" t="s">
        <v>2</v>
      </c>
    </row>
    <row r="5" spans="1:1">
      <c r="A5" s="9" t="s">
        <v>3</v>
      </c>
    </row>
    <row r="6" spans="1:1">
      <c r="A6" s="9" t="s">
        <v>4</v>
      </c>
    </row>
    <row r="7" spans="1:1" ht="25.5">
      <c r="A7" s="9" t="s">
        <v>5</v>
      </c>
    </row>
    <row r="8" spans="1:1">
      <c r="A8" s="9" t="s">
        <v>6</v>
      </c>
    </row>
    <row r="9" spans="1:1">
      <c r="A9" s="8"/>
    </row>
    <row r="10" spans="1:1">
      <c r="A10" s="8" t="s">
        <v>7</v>
      </c>
    </row>
    <row r="11" spans="1:1">
      <c r="A11" s="9" t="s">
        <v>8</v>
      </c>
    </row>
    <row r="12" spans="1:1">
      <c r="A12" s="9" t="s">
        <v>9</v>
      </c>
    </row>
    <row r="13" spans="1:1">
      <c r="A13" s="9" t="s">
        <v>10</v>
      </c>
    </row>
    <row r="14" spans="1:1">
      <c r="A14" s="8"/>
    </row>
    <row r="15" spans="1:1">
      <c r="A15" s="8" t="s">
        <v>11</v>
      </c>
    </row>
    <row r="16" spans="1:1">
      <c r="A16" s="10" t="s">
        <v>12</v>
      </c>
    </row>
    <row r="17" spans="1:1">
      <c r="A17" s="8"/>
    </row>
    <row r="18" spans="1:1">
      <c r="A18" s="8" t="s">
        <v>13</v>
      </c>
    </row>
    <row r="19" spans="1:1">
      <c r="A19" s="10" t="s">
        <v>14</v>
      </c>
    </row>
    <row r="21" spans="1:1" ht="15.75" customHeight="1"/>
    <row r="22" spans="1:1" ht="15.75" customHeight="1"/>
    <row r="23" spans="1:1" ht="15.75" customHeight="1"/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showGridLines="0" zoomScaleNormal="100" workbookViewId="0">
      <pane ySplit="4" topLeftCell="A5" activePane="bottomLeft" state="frozen"/>
      <selection pane="bottomLeft" activeCell="B6" sqref="B6"/>
    </sheetView>
  </sheetViews>
  <sheetFormatPr defaultColWidth="14.42578125" defaultRowHeight="15"/>
  <cols>
    <col min="1" max="1" width="12" customWidth="1"/>
    <col min="2" max="2" width="18" customWidth="1"/>
    <col min="3" max="3" width="38" customWidth="1"/>
    <col min="4" max="7" width="10" customWidth="1"/>
    <col min="8" max="8" width="12" customWidth="1"/>
    <col min="9" max="26" width="8.7109375" customWidth="1"/>
  </cols>
  <sheetData>
    <row r="1" spans="1:8" ht="24" customHeight="1">
      <c r="A1" s="6" t="s">
        <v>15</v>
      </c>
      <c r="B1" s="6"/>
      <c r="C1" s="6"/>
      <c r="D1" s="6"/>
      <c r="E1" s="6"/>
      <c r="F1" s="6"/>
      <c r="G1" s="6"/>
      <c r="H1" s="6"/>
    </row>
    <row r="2" spans="1:8" ht="19.5" customHeight="1">
      <c r="A2" s="5" t="s">
        <v>16</v>
      </c>
      <c r="B2" s="5"/>
      <c r="C2" s="5"/>
      <c r="D2" s="5"/>
      <c r="E2" s="5"/>
      <c r="F2" s="5"/>
      <c r="G2" s="5"/>
      <c r="H2" s="5"/>
    </row>
    <row r="4" spans="1:8" ht="28.5">
      <c r="A4" s="11" t="s">
        <v>17</v>
      </c>
      <c r="B4" s="11" t="s">
        <v>18</v>
      </c>
      <c r="C4" s="11" t="s">
        <v>19</v>
      </c>
      <c r="D4" s="11" t="s">
        <v>20</v>
      </c>
      <c r="E4" s="11" t="s">
        <v>21</v>
      </c>
      <c r="F4" s="11" t="s">
        <v>22</v>
      </c>
      <c r="G4" s="11" t="s">
        <v>23</v>
      </c>
      <c r="H4" s="11" t="s">
        <v>24</v>
      </c>
    </row>
    <row r="5" spans="1:8" ht="30" customHeight="1">
      <c r="A5" s="12" t="s">
        <v>25</v>
      </c>
      <c r="B5" s="13" t="s">
        <v>26</v>
      </c>
      <c r="C5" s="14" t="s">
        <v>27</v>
      </c>
      <c r="D5" s="15">
        <v>10</v>
      </c>
      <c r="E5" s="15">
        <f>COUNTIFS(기록!$A:$A,A5,기록!$D:$D,"PASS")</f>
        <v>4</v>
      </c>
      <c r="F5" s="15">
        <f>COUNTIFS(기록!$A:$A,A5,기록!$D:$D,"FAIL")</f>
        <v>6</v>
      </c>
      <c r="G5" s="16">
        <f t="shared" ref="G5:G19" si="0">IFERROR(E5/D5,0)</f>
        <v>0.4</v>
      </c>
      <c r="H5" s="12" t="str">
        <f>IF(COUNTIFS(기록!$A:$A,A5)=0,"미실시",IF(E5=D5,"합격",IF(E5/D5&gt;=0.8,"조건부 합격","불합격")))</f>
        <v>불합격</v>
      </c>
    </row>
    <row r="6" spans="1:8" ht="30" customHeight="1">
      <c r="A6" s="12" t="s">
        <v>28</v>
      </c>
      <c r="B6" s="17" t="s">
        <v>29</v>
      </c>
      <c r="C6" s="14" t="s">
        <v>30</v>
      </c>
      <c r="D6" s="15">
        <v>10</v>
      </c>
      <c r="E6" s="15">
        <f>COUNTIFS(기록!$A:$A,A6,기록!$D:$D,"PASS")</f>
        <v>7</v>
      </c>
      <c r="F6" s="15">
        <f>COUNTIFS(기록!$A:$A,A6,기록!$D:$D,"FAIL")</f>
        <v>3</v>
      </c>
      <c r="G6" s="16">
        <f t="shared" si="0"/>
        <v>0.7</v>
      </c>
      <c r="H6" s="12" t="str">
        <f>IF(COUNTIFS(기록!$A:$A,A6)=0,"미실시",IF(E6=D6,"합격",IF(E6/D6&gt;=0.8,"조건부 합격","불합격")))</f>
        <v>불합격</v>
      </c>
    </row>
    <row r="7" spans="1:8" ht="30" customHeight="1">
      <c r="A7" s="12" t="s">
        <v>31</v>
      </c>
      <c r="B7" s="13" t="s">
        <v>32</v>
      </c>
      <c r="C7" s="14" t="s">
        <v>33</v>
      </c>
      <c r="D7" s="15">
        <v>10</v>
      </c>
      <c r="E7" s="15">
        <f>COUNTIFS(기록!$A:$A,A7,기록!$D:$D,"PASS")</f>
        <v>8</v>
      </c>
      <c r="F7" s="15">
        <f>COUNTIFS(기록!$A:$A,A7,기록!$D:$D,"FAIL")</f>
        <v>2</v>
      </c>
      <c r="G7" s="16">
        <f t="shared" si="0"/>
        <v>0.8</v>
      </c>
      <c r="H7" s="12" t="str">
        <f>IF(COUNTIFS(기록!$A:$A,A7)=0,"미실시",IF(E7=D7,"합격",IF(E7/D7&gt;=0.8,"조건부 합격","불합격")))</f>
        <v>조건부 합격</v>
      </c>
    </row>
    <row r="8" spans="1:8" ht="30" customHeight="1">
      <c r="A8" s="12" t="s">
        <v>34</v>
      </c>
      <c r="B8" s="13" t="s">
        <v>35</v>
      </c>
      <c r="C8" s="14" t="s">
        <v>36</v>
      </c>
      <c r="D8" s="15">
        <v>5</v>
      </c>
      <c r="E8" s="15">
        <f>COUNTIFS(기록!$A:$A,A8,기록!$D:$D,"PASS")</f>
        <v>4</v>
      </c>
      <c r="F8" s="15">
        <f>COUNTIFS(기록!$A:$A,A8,기록!$D:$D,"FAIL")</f>
        <v>1</v>
      </c>
      <c r="G8" s="16">
        <f t="shared" si="0"/>
        <v>0.8</v>
      </c>
      <c r="H8" s="12" t="str">
        <f>IF(COUNTIFS(기록!$A:$A,A8)=0,"미실시",IF(E8=D8,"합격",IF(E8/D8&gt;=0.8,"조건부 합격","불합격")))</f>
        <v>조건부 합격</v>
      </c>
    </row>
    <row r="9" spans="1:8" ht="30" customHeight="1">
      <c r="A9" s="12" t="s">
        <v>37</v>
      </c>
      <c r="B9" s="13" t="s">
        <v>38</v>
      </c>
      <c r="C9" s="14" t="s">
        <v>39</v>
      </c>
      <c r="D9" s="15">
        <v>5</v>
      </c>
      <c r="E9" s="15">
        <f>COUNTIFS(기록!$A:$A,A9,기록!$D:$D,"PASS")</f>
        <v>3</v>
      </c>
      <c r="F9" s="15">
        <f>COUNTIFS(기록!$A:$A,A9,기록!$D:$D,"FAIL")</f>
        <v>2</v>
      </c>
      <c r="G9" s="16">
        <f t="shared" si="0"/>
        <v>0.6</v>
      </c>
      <c r="H9" s="12" t="str">
        <f>IF(COUNTIFS(기록!$A:$A,A9)=0,"미실시",IF(E9=D9,"합격",IF(E9/D9&gt;=0.8,"조건부 합격","불합격")))</f>
        <v>불합격</v>
      </c>
    </row>
    <row r="10" spans="1:8" ht="30" customHeight="1">
      <c r="A10" s="12" t="s">
        <v>40</v>
      </c>
      <c r="B10" s="13" t="s">
        <v>41</v>
      </c>
      <c r="C10" s="14" t="s">
        <v>42</v>
      </c>
      <c r="D10" s="15">
        <v>5</v>
      </c>
      <c r="E10" s="15">
        <f>COUNTIFS(기록!$A:$A,A10,기록!$D:$D,"PASS")</f>
        <v>4</v>
      </c>
      <c r="F10" s="15">
        <f>COUNTIFS(기록!$A:$A,A10,기록!$D:$D,"FAIL")</f>
        <v>1</v>
      </c>
      <c r="G10" s="16">
        <f t="shared" si="0"/>
        <v>0.8</v>
      </c>
      <c r="H10" s="12" t="str">
        <f>IF(COUNTIFS(기록!$A:$A,A10)=0,"미실시",IF(E10=D10,"합격",IF(E10/D10&gt;=0.8,"조건부 합격","불합격")))</f>
        <v>조건부 합격</v>
      </c>
    </row>
    <row r="11" spans="1:8" ht="30" customHeight="1">
      <c r="A11" s="12" t="s">
        <v>43</v>
      </c>
      <c r="B11" s="13" t="s">
        <v>44</v>
      </c>
      <c r="C11" s="14" t="s">
        <v>45</v>
      </c>
      <c r="D11" s="15">
        <v>10</v>
      </c>
      <c r="E11" s="15">
        <f>COUNTIFS(기록!$A:$A,A11,기록!$D:$D,"PASS")</f>
        <v>10</v>
      </c>
      <c r="F11" s="15">
        <f>COUNTIFS(기록!$A:$A,A11,기록!$D:$D,"FAIL")</f>
        <v>0</v>
      </c>
      <c r="G11" s="16">
        <f t="shared" si="0"/>
        <v>1</v>
      </c>
      <c r="H11" s="12" t="str">
        <f>IF(COUNTIFS(기록!$A:$A,A11)=0,"미실시",IF(E11=D11,"합격",IF(E11/D11&gt;=0.8,"조건부 합격","불합격")))</f>
        <v>합격</v>
      </c>
    </row>
    <row r="12" spans="1:8" ht="30" customHeight="1">
      <c r="A12" s="12" t="s">
        <v>46</v>
      </c>
      <c r="B12" s="17" t="s">
        <v>47</v>
      </c>
      <c r="C12" s="14" t="s">
        <v>48</v>
      </c>
      <c r="D12" s="15">
        <v>10</v>
      </c>
      <c r="E12" s="15">
        <f>COUNTIFS(기록!$A:$A,A12,기록!$D:$D,"PASS")</f>
        <v>8</v>
      </c>
      <c r="F12" s="15">
        <f>COUNTIFS(기록!$A:$A,A12,기록!$D:$D,"FAIL")</f>
        <v>2</v>
      </c>
      <c r="G12" s="16">
        <f t="shared" si="0"/>
        <v>0.8</v>
      </c>
      <c r="H12" s="12" t="str">
        <f>IF(COUNTIFS(기록!$A:$A,A12)=0,"미실시",IF(E12=D12,"합격",IF(E12/D12&gt;=0.8,"조건부 합격","불합격")))</f>
        <v>조건부 합격</v>
      </c>
    </row>
    <row r="13" spans="1:8" ht="30" customHeight="1">
      <c r="A13" s="12" t="s">
        <v>49</v>
      </c>
      <c r="B13" s="13" t="s">
        <v>50</v>
      </c>
      <c r="C13" s="14" t="s">
        <v>51</v>
      </c>
      <c r="D13" s="15">
        <v>10</v>
      </c>
      <c r="E13" s="15">
        <f>COUNTIFS(기록!$A:$A,A13,기록!$D:$D,"PASS")</f>
        <v>7</v>
      </c>
      <c r="F13" s="15">
        <f>COUNTIFS(기록!$A:$A,A13,기록!$D:$D,"FAIL")</f>
        <v>2</v>
      </c>
      <c r="G13" s="16">
        <f t="shared" si="0"/>
        <v>0.7</v>
      </c>
      <c r="H13" s="12" t="str">
        <f>IF(COUNTIFS(기록!$A:$A,A13)=0,"미실시",IF(E13=D13,"합격",IF(E13/D13&gt;=0.8,"조건부 합격","불합격")))</f>
        <v>불합격</v>
      </c>
    </row>
    <row r="14" spans="1:8" ht="30" customHeight="1">
      <c r="A14" s="12" t="s">
        <v>52</v>
      </c>
      <c r="B14" s="13" t="s">
        <v>53</v>
      </c>
      <c r="C14" s="14" t="s">
        <v>54</v>
      </c>
      <c r="D14" s="15">
        <v>10</v>
      </c>
      <c r="E14" s="15">
        <f>COUNTIFS(기록!$A:$A,A14,기록!$D:$D,"PASS")</f>
        <v>9</v>
      </c>
      <c r="F14" s="15">
        <f>COUNTIFS(기록!$A:$A,A14,기록!$D:$D,"FAIL")</f>
        <v>1</v>
      </c>
      <c r="G14" s="16">
        <f t="shared" si="0"/>
        <v>0.9</v>
      </c>
      <c r="H14" s="12" t="str">
        <f>IF(COUNTIFS(기록!$A:$A,A14)=0,"미실시",IF(E14=D14,"합격",IF(E14/D14&gt;=0.8,"조건부 합격","불합격")))</f>
        <v>조건부 합격</v>
      </c>
    </row>
    <row r="15" spans="1:8" ht="30" customHeight="1">
      <c r="A15" s="12" t="s">
        <v>55</v>
      </c>
      <c r="B15" s="17" t="s">
        <v>56</v>
      </c>
      <c r="C15" s="14" t="s">
        <v>57</v>
      </c>
      <c r="D15" s="15">
        <v>5</v>
      </c>
      <c r="E15" s="15">
        <f>COUNTIFS(기록!$A:$A,A15,기록!$D:$D,"PASS")</f>
        <v>4</v>
      </c>
      <c r="F15" s="15">
        <f>COUNTIFS(기록!$A:$A,A15,기록!$D:$D,"FAIL")</f>
        <v>1</v>
      </c>
      <c r="G15" s="16">
        <f t="shared" si="0"/>
        <v>0.8</v>
      </c>
      <c r="H15" s="12" t="str">
        <f>IF(COUNTIFS(기록!$A:$A,A15)=0,"미실시",IF(E15=D15,"합격",IF(E15/D15&gt;=0.8,"조건부 합격","불합격")))</f>
        <v>조건부 합격</v>
      </c>
    </row>
    <row r="16" spans="1:8" ht="30" customHeight="1">
      <c r="A16" s="12" t="s">
        <v>58</v>
      </c>
      <c r="B16" s="13" t="s">
        <v>59</v>
      </c>
      <c r="C16" s="14" t="s">
        <v>60</v>
      </c>
      <c r="D16" s="15">
        <v>5</v>
      </c>
      <c r="E16" s="15">
        <f>COUNTIFS(기록!$A:$A,A16,기록!$D:$D,"PASS")</f>
        <v>4</v>
      </c>
      <c r="F16" s="15">
        <f>COUNTIFS(기록!$A:$A,A16,기록!$D:$D,"FAIL")</f>
        <v>1</v>
      </c>
      <c r="G16" s="16">
        <f t="shared" si="0"/>
        <v>0.8</v>
      </c>
      <c r="H16" s="12" t="str">
        <f>IF(COUNTIFS(기록!$A:$A,A16)=0,"미실시",IF(E16=D16,"합격",IF(E16/D16&gt;=0.8,"조건부 합격","불합격")))</f>
        <v>조건부 합격</v>
      </c>
    </row>
    <row r="17" spans="1:8" ht="30" customHeight="1">
      <c r="A17" s="12" t="s">
        <v>61</v>
      </c>
      <c r="B17" s="13" t="s">
        <v>62</v>
      </c>
      <c r="C17" s="14" t="s">
        <v>63</v>
      </c>
      <c r="D17" s="15">
        <v>5</v>
      </c>
      <c r="E17" s="15">
        <f>COUNTIFS(기록!$A:$A,A17,기록!$D:$D,"PASS")</f>
        <v>4</v>
      </c>
      <c r="F17" s="15">
        <f>COUNTIFS(기록!$A:$A,A17,기록!$D:$D,"FAIL")</f>
        <v>1</v>
      </c>
      <c r="G17" s="16">
        <f t="shared" si="0"/>
        <v>0.8</v>
      </c>
      <c r="H17" s="12" t="str">
        <f>IF(COUNTIFS(기록!$A:$A,A17)=0,"미실시",IF(E17=D17,"합격",IF(E17/D17&gt;=0.8,"조건부 합격","불합격")))</f>
        <v>조건부 합격</v>
      </c>
    </row>
    <row r="18" spans="1:8" ht="30" customHeight="1">
      <c r="A18" s="12" t="s">
        <v>64</v>
      </c>
      <c r="B18" s="13" t="s">
        <v>65</v>
      </c>
      <c r="C18" s="14" t="s">
        <v>66</v>
      </c>
      <c r="D18" s="15">
        <v>10</v>
      </c>
      <c r="E18" s="15">
        <f>COUNTIFS(기록!$A:$A,A18,기록!$D:$D,"PASS")</f>
        <v>7</v>
      </c>
      <c r="F18" s="15">
        <f>COUNTIFS(기록!$A:$A,A18,기록!$D:$D,"FAIL")</f>
        <v>3</v>
      </c>
      <c r="G18" s="16">
        <f t="shared" si="0"/>
        <v>0.7</v>
      </c>
      <c r="H18" s="12" t="str">
        <f>IF(COUNTIFS(기록!$A:$A,A18)=0,"미실시",IF(E18=D18,"합격",IF(E18/D18&gt;=0.8,"조건부 합격","불합격")))</f>
        <v>불합격</v>
      </c>
    </row>
    <row r="19" spans="1:8" ht="15" customHeight="1">
      <c r="A19" s="4" t="s">
        <v>67</v>
      </c>
      <c r="B19" s="4"/>
      <c r="C19" s="4"/>
      <c r="D19" s="18">
        <f>SUM(D5:D18)</f>
        <v>110</v>
      </c>
      <c r="E19" s="18">
        <f>SUM(E5:E18)</f>
        <v>83</v>
      </c>
      <c r="F19" s="18">
        <f>SUM(F5:F18)</f>
        <v>26</v>
      </c>
      <c r="G19" s="19">
        <f t="shared" si="0"/>
        <v>0.75454545454545452</v>
      </c>
      <c r="H19" s="20"/>
    </row>
    <row r="21" spans="1:8" ht="16.5" customHeight="1">
      <c r="A21" s="3" t="s">
        <v>68</v>
      </c>
      <c r="B21" s="3"/>
      <c r="C21" s="3"/>
    </row>
    <row r="22" spans="1:8" ht="32.25" customHeight="1">
      <c r="A22" s="11" t="s">
        <v>69</v>
      </c>
      <c r="B22" s="2" t="s">
        <v>70</v>
      </c>
      <c r="C22" s="2"/>
    </row>
    <row r="23" spans="1:8" ht="15.75" customHeight="1">
      <c r="A23" s="13" t="s">
        <v>71</v>
      </c>
      <c r="B23" s="1">
        <f>COUNTIF(기록!$F:$F,A23)</f>
        <v>7</v>
      </c>
      <c r="C23" s="1"/>
    </row>
    <row r="24" spans="1:8" ht="15.75" customHeight="1">
      <c r="A24" s="13" t="s">
        <v>72</v>
      </c>
      <c r="B24" s="1">
        <f>COUNTIF(기록!$F:$F,A24)</f>
        <v>3</v>
      </c>
      <c r="C24" s="1"/>
    </row>
    <row r="25" spans="1:8" ht="15.75" customHeight="1">
      <c r="A25" s="17" t="s">
        <v>73</v>
      </c>
      <c r="B25" s="1">
        <f>COUNTIF(기록!$F:$F,A25)</f>
        <v>0</v>
      </c>
      <c r="C25" s="1"/>
    </row>
    <row r="26" spans="1:8" ht="15.75" customHeight="1">
      <c r="A26" s="17" t="s">
        <v>74</v>
      </c>
      <c r="B26" s="1">
        <f>COUNTIF(기록!$F:$F,A26)</f>
        <v>3</v>
      </c>
      <c r="C26" s="1"/>
    </row>
    <row r="27" spans="1:8" ht="15.75" customHeight="1">
      <c r="A27" s="13" t="s">
        <v>75</v>
      </c>
      <c r="B27" s="1">
        <f>COUNTIF(기록!$F:$F,A27)</f>
        <v>0</v>
      </c>
      <c r="C27" s="1"/>
    </row>
    <row r="28" spans="1:8" ht="15.75" customHeight="1">
      <c r="A28" s="13" t="s">
        <v>76</v>
      </c>
      <c r="B28" s="1">
        <f>COUNTIF(기록!$F:$F,A28)</f>
        <v>2</v>
      </c>
      <c r="C28" s="1"/>
    </row>
    <row r="29" spans="1:8" ht="15.75" customHeight="1">
      <c r="A29" s="13" t="s">
        <v>77</v>
      </c>
      <c r="B29" s="1">
        <f>COUNTIF(기록!$F:$F,A29)</f>
        <v>6</v>
      </c>
      <c r="C29" s="1"/>
    </row>
    <row r="30" spans="1:8" ht="15.75" customHeight="1">
      <c r="A30" s="13" t="s">
        <v>78</v>
      </c>
      <c r="B30" s="1">
        <f>COUNTIF(기록!$F:$F,A30)</f>
        <v>4</v>
      </c>
      <c r="C30" s="1"/>
    </row>
    <row r="31" spans="1:8" ht="15.75" customHeight="1">
      <c r="A31" s="13" t="s">
        <v>79</v>
      </c>
      <c r="B31" s="1">
        <f>COUNTIF(기록!$F:$F,A31)</f>
        <v>0</v>
      </c>
      <c r="C31" s="1"/>
    </row>
    <row r="32" spans="1:8" ht="15.75" customHeight="1">
      <c r="A32" s="13" t="s">
        <v>80</v>
      </c>
      <c r="B32" s="1">
        <f>COUNTIF(기록!$F:$F,A32)</f>
        <v>2</v>
      </c>
      <c r="C32" s="1"/>
    </row>
    <row r="33" spans="1:3" ht="15.75" customHeight="1">
      <c r="A33" s="13" t="s">
        <v>81</v>
      </c>
      <c r="B33" s="1">
        <f>COUNTIF(기록!$F:$F,A33)</f>
        <v>0</v>
      </c>
      <c r="C33" s="1"/>
    </row>
    <row r="34" spans="1:3" ht="15.75" customHeight="1"/>
    <row r="35" spans="1:3" ht="15.75" customHeight="1"/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33:C33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A1:H1"/>
    <mergeCell ref="A2:H2"/>
    <mergeCell ref="A19:C19"/>
    <mergeCell ref="A21:C21"/>
    <mergeCell ref="B22:C22"/>
  </mergeCells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showGridLines="0" tabSelected="1" zoomScaleNormal="100" workbookViewId="0">
      <pane ySplit="1" topLeftCell="A64" activePane="bottomLeft" state="frozen"/>
      <selection pane="bottomLeft" activeCell="D48" sqref="D48"/>
    </sheetView>
  </sheetViews>
  <sheetFormatPr defaultColWidth="14.42578125" defaultRowHeight="15"/>
  <cols>
    <col min="1" max="1" width="9" customWidth="1"/>
    <col min="2" max="2" width="16" customWidth="1"/>
    <col min="3" max="3" width="7" customWidth="1"/>
    <col min="4" max="4" width="13" customWidth="1"/>
    <col min="5" max="5" width="42" customWidth="1"/>
    <col min="6" max="6" width="22" customWidth="1"/>
    <col min="7" max="8" width="55" customWidth="1"/>
    <col min="9" max="9" width="17" customWidth="1"/>
    <col min="10" max="10" width="9" customWidth="1"/>
    <col min="11" max="11" width="14" customWidth="1"/>
    <col min="12" max="26" width="8.7109375" customWidth="1"/>
  </cols>
  <sheetData>
    <row r="1" spans="1:11" ht="30" customHeight="1" thickBot="1">
      <c r="A1" s="11" t="s">
        <v>17</v>
      </c>
      <c r="B1" s="11" t="s">
        <v>18</v>
      </c>
      <c r="C1" s="11" t="s">
        <v>82</v>
      </c>
      <c r="D1" s="11" t="s">
        <v>83</v>
      </c>
      <c r="E1" s="11" t="s">
        <v>84</v>
      </c>
      <c r="F1" s="11" t="s">
        <v>69</v>
      </c>
      <c r="G1" s="11" t="s">
        <v>85</v>
      </c>
      <c r="H1" s="11" t="s">
        <v>86</v>
      </c>
      <c r="I1" s="11" t="s">
        <v>87</v>
      </c>
      <c r="J1" s="11" t="s">
        <v>88</v>
      </c>
      <c r="K1" s="11" t="s">
        <v>89</v>
      </c>
    </row>
    <row r="2" spans="1:11" ht="45.75" customHeight="1">
      <c r="A2" s="21" t="s">
        <v>25</v>
      </c>
      <c r="B2" s="22" t="s">
        <v>26</v>
      </c>
      <c r="C2" s="23">
        <v>1</v>
      </c>
      <c r="D2" s="24" t="s">
        <v>90</v>
      </c>
      <c r="E2" s="41" t="s">
        <v>359</v>
      </c>
      <c r="F2" s="25" t="s">
        <v>71</v>
      </c>
      <c r="G2" s="41" t="s">
        <v>361</v>
      </c>
      <c r="H2" s="26" t="s">
        <v>91</v>
      </c>
      <c r="I2" s="24" t="s">
        <v>92</v>
      </c>
      <c r="J2" s="27" t="s">
        <v>93</v>
      </c>
      <c r="K2" s="27"/>
    </row>
    <row r="3" spans="1:11" ht="45.75" customHeight="1">
      <c r="A3" s="12" t="s">
        <v>25</v>
      </c>
      <c r="B3" s="28" t="s">
        <v>26</v>
      </c>
      <c r="C3" s="15">
        <v>2</v>
      </c>
      <c r="D3" s="29" t="s">
        <v>90</v>
      </c>
      <c r="E3" s="40" t="s">
        <v>360</v>
      </c>
      <c r="F3" s="30" t="s">
        <v>94</v>
      </c>
      <c r="G3" s="30" t="s">
        <v>95</v>
      </c>
      <c r="H3" s="31" t="s">
        <v>91</v>
      </c>
      <c r="I3" s="29" t="s">
        <v>96</v>
      </c>
      <c r="J3" s="32" t="s">
        <v>93</v>
      </c>
      <c r="K3" s="32"/>
    </row>
    <row r="4" spans="1:11" ht="45.75" customHeight="1">
      <c r="A4" s="12" t="s">
        <v>25</v>
      </c>
      <c r="B4" s="28" t="s">
        <v>26</v>
      </c>
      <c r="C4" s="15">
        <v>3</v>
      </c>
      <c r="D4" s="29" t="s">
        <v>90</v>
      </c>
      <c r="E4" s="40" t="s">
        <v>360</v>
      </c>
      <c r="F4" s="30" t="s">
        <v>94</v>
      </c>
      <c r="G4" s="30" t="s">
        <v>362</v>
      </c>
      <c r="H4" s="31" t="s">
        <v>91</v>
      </c>
      <c r="I4" s="29" t="s">
        <v>98</v>
      </c>
      <c r="J4" s="32" t="s">
        <v>93</v>
      </c>
      <c r="K4" s="32"/>
    </row>
    <row r="5" spans="1:11" ht="45.75" customHeight="1">
      <c r="A5" s="12" t="s">
        <v>25</v>
      </c>
      <c r="B5" s="28" t="s">
        <v>26</v>
      </c>
      <c r="C5" s="15">
        <v>4</v>
      </c>
      <c r="D5" s="29" t="s">
        <v>90</v>
      </c>
      <c r="E5" s="40" t="s">
        <v>360</v>
      </c>
      <c r="F5" s="30" t="s">
        <v>94</v>
      </c>
      <c r="G5" s="30" t="s">
        <v>362</v>
      </c>
      <c r="H5" s="31" t="s">
        <v>91</v>
      </c>
      <c r="I5" s="29" t="s">
        <v>99</v>
      </c>
      <c r="J5" s="32" t="s">
        <v>93</v>
      </c>
      <c r="K5" s="32"/>
    </row>
    <row r="6" spans="1:11" ht="45.75" customHeight="1">
      <c r="A6" s="12" t="s">
        <v>25</v>
      </c>
      <c r="B6" s="28" t="s">
        <v>26</v>
      </c>
      <c r="C6" s="15">
        <v>5</v>
      </c>
      <c r="D6" s="29" t="s">
        <v>90</v>
      </c>
      <c r="E6" s="40" t="s">
        <v>360</v>
      </c>
      <c r="F6" s="30" t="s">
        <v>94</v>
      </c>
      <c r="G6" s="30" t="s">
        <v>362</v>
      </c>
      <c r="H6" s="31" t="s">
        <v>91</v>
      </c>
      <c r="I6" s="29" t="s">
        <v>100</v>
      </c>
      <c r="J6" s="32" t="s">
        <v>93</v>
      </c>
      <c r="K6" s="32"/>
    </row>
    <row r="7" spans="1:11" ht="45.75" customHeight="1">
      <c r="A7" s="12" t="s">
        <v>25</v>
      </c>
      <c r="B7" s="28" t="s">
        <v>26</v>
      </c>
      <c r="C7" s="15">
        <v>6</v>
      </c>
      <c r="D7" s="29" t="s">
        <v>90</v>
      </c>
      <c r="E7" s="40" t="s">
        <v>360</v>
      </c>
      <c r="F7" s="30" t="s">
        <v>94</v>
      </c>
      <c r="G7" s="30" t="s">
        <v>362</v>
      </c>
      <c r="H7" s="31" t="s">
        <v>91</v>
      </c>
      <c r="I7" s="29" t="s">
        <v>101</v>
      </c>
      <c r="J7" s="32" t="s">
        <v>93</v>
      </c>
      <c r="K7" s="32"/>
    </row>
    <row r="8" spans="1:11" ht="45.75" customHeight="1">
      <c r="A8" s="12" t="s">
        <v>25</v>
      </c>
      <c r="B8" s="28" t="s">
        <v>26</v>
      </c>
      <c r="C8" s="15">
        <v>7</v>
      </c>
      <c r="D8" s="29" t="s">
        <v>97</v>
      </c>
      <c r="E8" s="39" t="s">
        <v>363</v>
      </c>
      <c r="F8" s="30"/>
      <c r="G8" s="30"/>
      <c r="H8" s="31" t="s">
        <v>91</v>
      </c>
      <c r="I8" s="29" t="s">
        <v>102</v>
      </c>
      <c r="J8" s="32" t="s">
        <v>93</v>
      </c>
      <c r="K8" s="32"/>
    </row>
    <row r="9" spans="1:11" ht="45.75" customHeight="1">
      <c r="A9" s="12" t="s">
        <v>25</v>
      </c>
      <c r="B9" s="28" t="s">
        <v>26</v>
      </c>
      <c r="C9" s="15">
        <v>8</v>
      </c>
      <c r="D9" s="29" t="s">
        <v>97</v>
      </c>
      <c r="E9" s="39" t="s">
        <v>363</v>
      </c>
      <c r="F9" s="30"/>
      <c r="G9" s="30"/>
      <c r="H9" s="31" t="s">
        <v>91</v>
      </c>
      <c r="I9" s="29" t="s">
        <v>103</v>
      </c>
      <c r="J9" s="32" t="s">
        <v>93</v>
      </c>
      <c r="K9" s="32"/>
    </row>
    <row r="10" spans="1:11" ht="45.75" customHeight="1">
      <c r="A10" s="12" t="s">
        <v>25</v>
      </c>
      <c r="B10" s="28" t="s">
        <v>26</v>
      </c>
      <c r="C10" s="15">
        <v>9</v>
      </c>
      <c r="D10" s="29" t="s">
        <v>97</v>
      </c>
      <c r="E10" s="39" t="s">
        <v>363</v>
      </c>
      <c r="F10" s="30"/>
      <c r="G10" s="30"/>
      <c r="H10" s="31" t="s">
        <v>91</v>
      </c>
      <c r="I10" s="29" t="s">
        <v>104</v>
      </c>
      <c r="J10" s="32" t="s">
        <v>93</v>
      </c>
      <c r="K10" s="32"/>
    </row>
    <row r="11" spans="1:11" ht="45.75" customHeight="1" thickBot="1">
      <c r="A11" s="12" t="s">
        <v>25</v>
      </c>
      <c r="B11" s="28" t="s">
        <v>26</v>
      </c>
      <c r="C11" s="15">
        <v>10</v>
      </c>
      <c r="D11" s="29" t="s">
        <v>97</v>
      </c>
      <c r="E11" s="39" t="s">
        <v>363</v>
      </c>
      <c r="F11" s="30"/>
      <c r="G11" s="30"/>
      <c r="H11" s="31" t="s">
        <v>91</v>
      </c>
      <c r="I11" s="29" t="s">
        <v>105</v>
      </c>
      <c r="J11" s="32" t="s">
        <v>93</v>
      </c>
      <c r="K11" s="32"/>
    </row>
    <row r="12" spans="1:11" ht="45.75" customHeight="1" thickBot="1">
      <c r="A12" s="21" t="s">
        <v>28</v>
      </c>
      <c r="B12" s="23" t="s">
        <v>29</v>
      </c>
      <c r="C12" s="23">
        <v>1</v>
      </c>
      <c r="D12" s="24" t="s">
        <v>90</v>
      </c>
      <c r="E12" s="25" t="s">
        <v>106</v>
      </c>
      <c r="F12" s="25" t="s">
        <v>77</v>
      </c>
      <c r="G12" s="33" t="s">
        <v>365</v>
      </c>
      <c r="H12" s="26" t="s">
        <v>107</v>
      </c>
      <c r="I12" s="34" t="s">
        <v>108</v>
      </c>
      <c r="J12" s="27" t="s">
        <v>93</v>
      </c>
      <c r="K12" s="27"/>
    </row>
    <row r="13" spans="1:11" ht="45.75" customHeight="1">
      <c r="A13" s="12" t="s">
        <v>28</v>
      </c>
      <c r="B13" s="15" t="s">
        <v>29</v>
      </c>
      <c r="C13" s="15">
        <v>2</v>
      </c>
      <c r="D13" s="29" t="s">
        <v>90</v>
      </c>
      <c r="E13" s="39" t="s">
        <v>367</v>
      </c>
      <c r="F13" s="30" t="s">
        <v>368</v>
      </c>
      <c r="G13" s="33" t="s">
        <v>365</v>
      </c>
      <c r="H13" s="31" t="s">
        <v>107</v>
      </c>
      <c r="I13" s="29" t="s">
        <v>109</v>
      </c>
      <c r="J13" s="32" t="s">
        <v>93</v>
      </c>
      <c r="K13" s="32"/>
    </row>
    <row r="14" spans="1:11" ht="45.75" customHeight="1">
      <c r="A14" s="12" t="s">
        <v>28</v>
      </c>
      <c r="B14" s="15" t="s">
        <v>29</v>
      </c>
      <c r="C14" s="15">
        <v>3</v>
      </c>
      <c r="D14" s="29" t="s">
        <v>90</v>
      </c>
      <c r="E14" s="39" t="s">
        <v>366</v>
      </c>
      <c r="F14" s="30" t="s">
        <v>368</v>
      </c>
      <c r="G14" s="30" t="s">
        <v>364</v>
      </c>
      <c r="H14" s="31" t="s">
        <v>107</v>
      </c>
      <c r="I14" s="29" t="s">
        <v>110</v>
      </c>
      <c r="J14" s="32" t="s">
        <v>93</v>
      </c>
      <c r="K14" s="32"/>
    </row>
    <row r="15" spans="1:11" ht="45.75" customHeight="1">
      <c r="A15" s="12" t="s">
        <v>28</v>
      </c>
      <c r="B15" s="15" t="s">
        <v>29</v>
      </c>
      <c r="C15" s="15">
        <v>4</v>
      </c>
      <c r="D15" s="29" t="s">
        <v>97</v>
      </c>
      <c r="E15" s="30" t="s">
        <v>111</v>
      </c>
      <c r="F15" s="30"/>
      <c r="G15" s="30"/>
      <c r="H15" s="31" t="s">
        <v>107</v>
      </c>
      <c r="I15" s="29" t="s">
        <v>112</v>
      </c>
      <c r="J15" s="32" t="s">
        <v>93</v>
      </c>
      <c r="K15" s="32"/>
    </row>
    <row r="16" spans="1:11" ht="45.75" customHeight="1">
      <c r="A16" s="12" t="s">
        <v>28</v>
      </c>
      <c r="B16" s="15" t="s">
        <v>29</v>
      </c>
      <c r="C16" s="15">
        <v>5</v>
      </c>
      <c r="D16" s="29" t="s">
        <v>97</v>
      </c>
      <c r="E16" s="30" t="s">
        <v>113</v>
      </c>
      <c r="F16" s="30"/>
      <c r="G16" s="30"/>
      <c r="H16" s="31" t="s">
        <v>107</v>
      </c>
      <c r="I16" s="29" t="s">
        <v>114</v>
      </c>
      <c r="J16" s="32" t="s">
        <v>93</v>
      </c>
      <c r="K16" s="32"/>
    </row>
    <row r="17" spans="1:11" ht="45.75" customHeight="1">
      <c r="A17" s="12" t="s">
        <v>28</v>
      </c>
      <c r="B17" s="15" t="s">
        <v>29</v>
      </c>
      <c r="C17" s="15">
        <v>6</v>
      </c>
      <c r="D17" s="29" t="s">
        <v>97</v>
      </c>
      <c r="E17" s="30" t="s">
        <v>115</v>
      </c>
      <c r="F17" s="30"/>
      <c r="G17" s="30"/>
      <c r="H17" s="31" t="s">
        <v>107</v>
      </c>
      <c r="I17" s="29" t="s">
        <v>116</v>
      </c>
      <c r="J17" s="32" t="s">
        <v>93</v>
      </c>
      <c r="K17" s="32"/>
    </row>
    <row r="18" spans="1:11" ht="45.75" customHeight="1">
      <c r="A18" s="12" t="s">
        <v>28</v>
      </c>
      <c r="B18" s="15" t="s">
        <v>29</v>
      </c>
      <c r="C18" s="15">
        <v>7</v>
      </c>
      <c r="D18" s="29" t="s">
        <v>97</v>
      </c>
      <c r="E18" s="30" t="s">
        <v>117</v>
      </c>
      <c r="F18" s="30"/>
      <c r="G18" s="30"/>
      <c r="H18" s="31" t="s">
        <v>107</v>
      </c>
      <c r="I18" s="29" t="s">
        <v>118</v>
      </c>
      <c r="J18" s="32" t="s">
        <v>93</v>
      </c>
      <c r="K18" s="32"/>
    </row>
    <row r="19" spans="1:11" ht="45.75" customHeight="1">
      <c r="A19" s="12" t="s">
        <v>28</v>
      </c>
      <c r="B19" s="15" t="s">
        <v>29</v>
      </c>
      <c r="C19" s="15">
        <v>8</v>
      </c>
      <c r="D19" s="29" t="s">
        <v>97</v>
      </c>
      <c r="E19" s="30" t="s">
        <v>119</v>
      </c>
      <c r="F19" s="30"/>
      <c r="G19" s="30"/>
      <c r="H19" s="31" t="s">
        <v>107</v>
      </c>
      <c r="I19" s="29" t="s">
        <v>120</v>
      </c>
      <c r="J19" s="32" t="s">
        <v>93</v>
      </c>
      <c r="K19" s="32"/>
    </row>
    <row r="20" spans="1:11" ht="45.75" customHeight="1">
      <c r="A20" s="12" t="s">
        <v>28</v>
      </c>
      <c r="B20" s="15" t="s">
        <v>29</v>
      </c>
      <c r="C20" s="15">
        <v>9</v>
      </c>
      <c r="D20" s="29" t="s">
        <v>97</v>
      </c>
      <c r="E20" s="30" t="s">
        <v>121</v>
      </c>
      <c r="F20" s="30"/>
      <c r="G20" s="30"/>
      <c r="H20" s="31" t="s">
        <v>107</v>
      </c>
      <c r="I20" s="29" t="s">
        <v>122</v>
      </c>
      <c r="J20" s="32" t="s">
        <v>93</v>
      </c>
      <c r="K20" s="32"/>
    </row>
    <row r="21" spans="1:11" ht="45.75" customHeight="1" thickBot="1">
      <c r="A21" s="12" t="s">
        <v>28</v>
      </c>
      <c r="B21" s="15" t="s">
        <v>29</v>
      </c>
      <c r="C21" s="15">
        <v>10</v>
      </c>
      <c r="D21" s="29" t="s">
        <v>97</v>
      </c>
      <c r="E21" s="30" t="s">
        <v>123</v>
      </c>
      <c r="F21" s="30"/>
      <c r="G21" s="30"/>
      <c r="H21" s="31" t="s">
        <v>107</v>
      </c>
      <c r="I21" s="29" t="s">
        <v>124</v>
      </c>
      <c r="J21" s="32" t="s">
        <v>93</v>
      </c>
      <c r="K21" s="32"/>
    </row>
    <row r="22" spans="1:11" ht="45.75" customHeight="1">
      <c r="A22" s="21" t="s">
        <v>31</v>
      </c>
      <c r="B22" s="22" t="s">
        <v>32</v>
      </c>
      <c r="C22" s="23">
        <v>1</v>
      </c>
      <c r="D22" s="24" t="s">
        <v>90</v>
      </c>
      <c r="E22" s="25" t="s">
        <v>125</v>
      </c>
      <c r="F22" s="33" t="s">
        <v>126</v>
      </c>
      <c r="G22" s="33" t="s">
        <v>127</v>
      </c>
      <c r="H22" s="26" t="s">
        <v>128</v>
      </c>
      <c r="I22" s="34" t="s">
        <v>129</v>
      </c>
      <c r="J22" s="27" t="s">
        <v>130</v>
      </c>
      <c r="K22" s="27"/>
    </row>
    <row r="23" spans="1:11" ht="45.75" customHeight="1">
      <c r="A23" s="12" t="s">
        <v>31</v>
      </c>
      <c r="B23" s="28" t="s">
        <v>32</v>
      </c>
      <c r="C23" s="15">
        <v>2</v>
      </c>
      <c r="D23" s="29" t="s">
        <v>90</v>
      </c>
      <c r="E23" s="30" t="s">
        <v>131</v>
      </c>
      <c r="F23" s="35" t="s">
        <v>74</v>
      </c>
      <c r="G23" s="35" t="s">
        <v>132</v>
      </c>
      <c r="H23" s="31" t="s">
        <v>128</v>
      </c>
      <c r="I23" s="29" t="s">
        <v>133</v>
      </c>
      <c r="J23" s="32" t="s">
        <v>130</v>
      </c>
      <c r="K23" s="32"/>
    </row>
    <row r="24" spans="1:11" ht="45.75" customHeight="1">
      <c r="A24" s="12" t="s">
        <v>31</v>
      </c>
      <c r="B24" s="28" t="s">
        <v>32</v>
      </c>
      <c r="C24" s="15">
        <v>3</v>
      </c>
      <c r="D24" s="29" t="s">
        <v>97</v>
      </c>
      <c r="E24" s="30" t="s">
        <v>134</v>
      </c>
      <c r="F24" s="30"/>
      <c r="G24" s="30"/>
      <c r="H24" s="31" t="s">
        <v>128</v>
      </c>
      <c r="I24" s="29" t="s">
        <v>135</v>
      </c>
      <c r="J24" s="32" t="s">
        <v>130</v>
      </c>
      <c r="K24" s="32"/>
    </row>
    <row r="25" spans="1:11" ht="45.75" customHeight="1">
      <c r="A25" s="12" t="s">
        <v>31</v>
      </c>
      <c r="B25" s="28" t="s">
        <v>32</v>
      </c>
      <c r="C25" s="15">
        <v>4</v>
      </c>
      <c r="D25" s="29" t="s">
        <v>97</v>
      </c>
      <c r="E25" s="30" t="s">
        <v>134</v>
      </c>
      <c r="F25" s="30"/>
      <c r="G25" s="30"/>
      <c r="H25" s="31" t="s">
        <v>128</v>
      </c>
      <c r="I25" s="29" t="s">
        <v>136</v>
      </c>
      <c r="J25" s="32" t="s">
        <v>130</v>
      </c>
      <c r="K25" s="32"/>
    </row>
    <row r="26" spans="1:11" ht="45.75" customHeight="1">
      <c r="A26" s="12" t="s">
        <v>31</v>
      </c>
      <c r="B26" s="28" t="s">
        <v>32</v>
      </c>
      <c r="C26" s="15">
        <v>5</v>
      </c>
      <c r="D26" s="29" t="s">
        <v>97</v>
      </c>
      <c r="E26" s="30" t="s">
        <v>137</v>
      </c>
      <c r="F26" s="30"/>
      <c r="G26" s="30"/>
      <c r="H26" s="31" t="s">
        <v>128</v>
      </c>
      <c r="I26" s="29" t="s">
        <v>138</v>
      </c>
      <c r="J26" s="32" t="s">
        <v>130</v>
      </c>
      <c r="K26" s="32"/>
    </row>
    <row r="27" spans="1:11" ht="45.75" customHeight="1">
      <c r="A27" s="12" t="s">
        <v>31</v>
      </c>
      <c r="B27" s="28" t="s">
        <v>32</v>
      </c>
      <c r="C27" s="15">
        <v>6</v>
      </c>
      <c r="D27" s="29" t="s">
        <v>97</v>
      </c>
      <c r="E27" s="30" t="s">
        <v>139</v>
      </c>
      <c r="F27" s="30"/>
      <c r="G27" s="30"/>
      <c r="H27" s="31" t="s">
        <v>128</v>
      </c>
      <c r="I27" s="29" t="s">
        <v>140</v>
      </c>
      <c r="J27" s="32" t="s">
        <v>130</v>
      </c>
      <c r="K27" s="32"/>
    </row>
    <row r="28" spans="1:11" ht="45.75" customHeight="1">
      <c r="A28" s="12" t="s">
        <v>31</v>
      </c>
      <c r="B28" s="28" t="s">
        <v>32</v>
      </c>
      <c r="C28" s="15">
        <v>7</v>
      </c>
      <c r="D28" s="29" t="s">
        <v>97</v>
      </c>
      <c r="E28" s="30" t="s">
        <v>141</v>
      </c>
      <c r="F28" s="30"/>
      <c r="G28" s="30"/>
      <c r="H28" s="31" t="s">
        <v>128</v>
      </c>
      <c r="I28" s="29" t="s">
        <v>142</v>
      </c>
      <c r="J28" s="32" t="s">
        <v>130</v>
      </c>
      <c r="K28" s="32"/>
    </row>
    <row r="29" spans="1:11" ht="45.75" customHeight="1">
      <c r="A29" s="12" t="s">
        <v>31</v>
      </c>
      <c r="B29" s="28" t="s">
        <v>32</v>
      </c>
      <c r="C29" s="15">
        <v>8</v>
      </c>
      <c r="D29" s="29" t="s">
        <v>97</v>
      </c>
      <c r="E29" s="30" t="s">
        <v>143</v>
      </c>
      <c r="F29" s="30"/>
      <c r="G29" s="30"/>
      <c r="H29" s="31" t="s">
        <v>128</v>
      </c>
      <c r="I29" s="29" t="s">
        <v>144</v>
      </c>
      <c r="J29" s="32" t="s">
        <v>130</v>
      </c>
      <c r="K29" s="32"/>
    </row>
    <row r="30" spans="1:11" ht="45.75" customHeight="1">
      <c r="A30" s="12" t="s">
        <v>31</v>
      </c>
      <c r="B30" s="28" t="s">
        <v>32</v>
      </c>
      <c r="C30" s="15">
        <v>9</v>
      </c>
      <c r="D30" s="29" t="s">
        <v>97</v>
      </c>
      <c r="E30" s="30" t="s">
        <v>145</v>
      </c>
      <c r="F30" s="30"/>
      <c r="G30" s="30"/>
      <c r="H30" s="31" t="s">
        <v>128</v>
      </c>
      <c r="I30" s="29" t="s">
        <v>146</v>
      </c>
      <c r="J30" s="32" t="s">
        <v>130</v>
      </c>
      <c r="K30" s="32"/>
    </row>
    <row r="31" spans="1:11" ht="45.75" customHeight="1" thickBot="1">
      <c r="A31" s="12" t="s">
        <v>31</v>
      </c>
      <c r="B31" s="28" t="s">
        <v>32</v>
      </c>
      <c r="C31" s="15">
        <v>10</v>
      </c>
      <c r="D31" s="29" t="s">
        <v>97</v>
      </c>
      <c r="E31" s="30" t="s">
        <v>147</v>
      </c>
      <c r="F31" s="30"/>
      <c r="G31" s="30"/>
      <c r="H31" s="31" t="s">
        <v>128</v>
      </c>
      <c r="I31" s="29" t="s">
        <v>148</v>
      </c>
      <c r="J31" s="32" t="s">
        <v>130</v>
      </c>
      <c r="K31" s="32"/>
    </row>
    <row r="32" spans="1:11" ht="45.75" customHeight="1">
      <c r="A32" s="21" t="s">
        <v>34</v>
      </c>
      <c r="B32" s="22" t="s">
        <v>35</v>
      </c>
      <c r="C32" s="23">
        <v>1</v>
      </c>
      <c r="D32" s="24" t="s">
        <v>90</v>
      </c>
      <c r="E32" s="25" t="s">
        <v>149</v>
      </c>
      <c r="F32" s="33" t="s">
        <v>126</v>
      </c>
      <c r="G32" s="33" t="s">
        <v>150</v>
      </c>
      <c r="H32" s="26" t="s">
        <v>151</v>
      </c>
      <c r="I32" s="34" t="s">
        <v>152</v>
      </c>
      <c r="J32" s="27" t="s">
        <v>130</v>
      </c>
      <c r="K32" s="27"/>
    </row>
    <row r="33" spans="1:11" ht="45.75" customHeight="1">
      <c r="A33" s="12" t="s">
        <v>34</v>
      </c>
      <c r="B33" s="28" t="s">
        <v>35</v>
      </c>
      <c r="C33" s="15">
        <v>2</v>
      </c>
      <c r="D33" s="29" t="s">
        <v>97</v>
      </c>
      <c r="E33" s="30" t="s">
        <v>153</v>
      </c>
      <c r="F33" s="30"/>
      <c r="G33" s="30"/>
      <c r="H33" s="31" t="s">
        <v>151</v>
      </c>
      <c r="I33" s="29" t="s">
        <v>154</v>
      </c>
      <c r="J33" s="32" t="s">
        <v>130</v>
      </c>
      <c r="K33" s="32"/>
    </row>
    <row r="34" spans="1:11" ht="45.75" customHeight="1">
      <c r="A34" s="12" t="s">
        <v>34</v>
      </c>
      <c r="B34" s="28" t="s">
        <v>35</v>
      </c>
      <c r="C34" s="15">
        <v>3</v>
      </c>
      <c r="D34" s="29" t="s">
        <v>97</v>
      </c>
      <c r="E34" s="30" t="s">
        <v>155</v>
      </c>
      <c r="F34" s="30"/>
      <c r="G34" s="30"/>
      <c r="H34" s="31" t="s">
        <v>151</v>
      </c>
      <c r="I34" s="29" t="s">
        <v>156</v>
      </c>
      <c r="J34" s="32" t="s">
        <v>130</v>
      </c>
      <c r="K34" s="32"/>
    </row>
    <row r="35" spans="1:11" ht="45.75" customHeight="1">
      <c r="A35" s="12" t="s">
        <v>34</v>
      </c>
      <c r="B35" s="28" t="s">
        <v>35</v>
      </c>
      <c r="C35" s="15">
        <v>4</v>
      </c>
      <c r="D35" s="29" t="s">
        <v>97</v>
      </c>
      <c r="E35" s="30" t="s">
        <v>157</v>
      </c>
      <c r="F35" s="30"/>
      <c r="G35" s="30"/>
      <c r="H35" s="31" t="s">
        <v>151</v>
      </c>
      <c r="I35" s="29" t="s">
        <v>158</v>
      </c>
      <c r="J35" s="32" t="s">
        <v>130</v>
      </c>
      <c r="K35" s="32"/>
    </row>
    <row r="36" spans="1:11" ht="45.75" customHeight="1" thickBot="1">
      <c r="A36" s="12" t="s">
        <v>34</v>
      </c>
      <c r="B36" s="28" t="s">
        <v>35</v>
      </c>
      <c r="C36" s="15">
        <v>5</v>
      </c>
      <c r="D36" s="29" t="s">
        <v>97</v>
      </c>
      <c r="E36" s="30" t="s">
        <v>159</v>
      </c>
      <c r="F36" s="30"/>
      <c r="G36" s="30"/>
      <c r="H36" s="31" t="s">
        <v>151</v>
      </c>
      <c r="I36" s="29" t="s">
        <v>160</v>
      </c>
      <c r="J36" s="32" t="s">
        <v>130</v>
      </c>
      <c r="K36" s="32"/>
    </row>
    <row r="37" spans="1:11" ht="45.75" customHeight="1">
      <c r="A37" s="21" t="s">
        <v>37</v>
      </c>
      <c r="B37" s="22" t="s">
        <v>38</v>
      </c>
      <c r="C37" s="23">
        <v>1</v>
      </c>
      <c r="D37" s="24" t="s">
        <v>90</v>
      </c>
      <c r="E37" s="33" t="s">
        <v>339</v>
      </c>
      <c r="F37" s="25" t="s">
        <v>78</v>
      </c>
      <c r="G37" s="33" t="s">
        <v>161</v>
      </c>
      <c r="H37" s="26" t="s">
        <v>162</v>
      </c>
      <c r="I37" s="34" t="s">
        <v>163</v>
      </c>
      <c r="J37" s="27" t="s">
        <v>130</v>
      </c>
      <c r="K37" s="27"/>
    </row>
    <row r="38" spans="1:11" ht="45.75" customHeight="1">
      <c r="A38" s="12" t="s">
        <v>37</v>
      </c>
      <c r="B38" s="28" t="s">
        <v>38</v>
      </c>
      <c r="C38" s="15">
        <v>2</v>
      </c>
      <c r="D38" s="29" t="s">
        <v>90</v>
      </c>
      <c r="E38" s="40" t="s">
        <v>340</v>
      </c>
      <c r="F38" s="38" t="s">
        <v>337</v>
      </c>
      <c r="G38" s="30" t="s">
        <v>338</v>
      </c>
      <c r="H38" s="31" t="s">
        <v>162</v>
      </c>
      <c r="I38" s="29" t="s">
        <v>164</v>
      </c>
      <c r="J38" s="32" t="s">
        <v>130</v>
      </c>
      <c r="K38" s="32"/>
    </row>
    <row r="39" spans="1:11" ht="45.75" customHeight="1">
      <c r="A39" s="12" t="s">
        <v>37</v>
      </c>
      <c r="B39" s="28" t="s">
        <v>38</v>
      </c>
      <c r="C39" s="15">
        <v>3</v>
      </c>
      <c r="D39" s="29" t="s">
        <v>97</v>
      </c>
      <c r="E39" s="30" t="s">
        <v>165</v>
      </c>
      <c r="F39" s="30"/>
      <c r="G39" s="30"/>
      <c r="H39" s="31" t="s">
        <v>162</v>
      </c>
      <c r="I39" s="29" t="s">
        <v>166</v>
      </c>
      <c r="J39" s="32" t="s">
        <v>130</v>
      </c>
      <c r="K39" s="32"/>
    </row>
    <row r="40" spans="1:11" ht="45.75" customHeight="1">
      <c r="A40" s="12" t="s">
        <v>37</v>
      </c>
      <c r="B40" s="28" t="s">
        <v>38</v>
      </c>
      <c r="C40" s="15">
        <v>4</v>
      </c>
      <c r="D40" s="29" t="s">
        <v>97</v>
      </c>
      <c r="E40" s="30" t="s">
        <v>167</v>
      </c>
      <c r="F40" s="30"/>
      <c r="G40" s="30"/>
      <c r="H40" s="31" t="s">
        <v>162</v>
      </c>
      <c r="I40" s="29" t="s">
        <v>168</v>
      </c>
      <c r="J40" s="32" t="s">
        <v>130</v>
      </c>
      <c r="K40" s="32"/>
    </row>
    <row r="41" spans="1:11" ht="45.75" customHeight="1" thickBot="1">
      <c r="A41" s="12" t="s">
        <v>37</v>
      </c>
      <c r="B41" s="28" t="s">
        <v>38</v>
      </c>
      <c r="C41" s="15">
        <v>5</v>
      </c>
      <c r="D41" s="29" t="s">
        <v>97</v>
      </c>
      <c r="E41" s="30" t="s">
        <v>169</v>
      </c>
      <c r="F41" s="30"/>
      <c r="G41" s="30"/>
      <c r="H41" s="31" t="s">
        <v>162</v>
      </c>
      <c r="I41" s="29" t="s">
        <v>170</v>
      </c>
      <c r="J41" s="32" t="s">
        <v>130</v>
      </c>
      <c r="K41" s="32"/>
    </row>
    <row r="42" spans="1:11" ht="45.75" customHeight="1">
      <c r="A42" s="21" t="s">
        <v>40</v>
      </c>
      <c r="B42" s="22" t="s">
        <v>41</v>
      </c>
      <c r="C42" s="23">
        <v>1</v>
      </c>
      <c r="D42" s="24" t="s">
        <v>90</v>
      </c>
      <c r="E42" s="33" t="s">
        <v>171</v>
      </c>
      <c r="F42" s="25" t="s">
        <v>78</v>
      </c>
      <c r="G42" s="25" t="s">
        <v>172</v>
      </c>
      <c r="H42" s="26" t="s">
        <v>173</v>
      </c>
      <c r="I42" s="34" t="s">
        <v>174</v>
      </c>
      <c r="J42" s="27" t="s">
        <v>130</v>
      </c>
      <c r="K42" s="27"/>
    </row>
    <row r="43" spans="1:11" ht="45.75" customHeight="1">
      <c r="A43" s="12" t="s">
        <v>40</v>
      </c>
      <c r="B43" s="28" t="s">
        <v>41</v>
      </c>
      <c r="C43" s="15">
        <v>2</v>
      </c>
      <c r="D43" s="29" t="s">
        <v>97</v>
      </c>
      <c r="E43" s="30" t="s">
        <v>175</v>
      </c>
      <c r="F43" s="30"/>
      <c r="G43" s="30"/>
      <c r="H43" s="31" t="s">
        <v>173</v>
      </c>
      <c r="I43" s="29" t="s">
        <v>176</v>
      </c>
      <c r="J43" s="32" t="s">
        <v>130</v>
      </c>
      <c r="K43" s="32"/>
    </row>
    <row r="44" spans="1:11" ht="45.75" customHeight="1">
      <c r="A44" s="12" t="s">
        <v>40</v>
      </c>
      <c r="B44" s="28" t="s">
        <v>41</v>
      </c>
      <c r="C44" s="15">
        <v>3</v>
      </c>
      <c r="D44" s="29" t="s">
        <v>97</v>
      </c>
      <c r="E44" s="30" t="s">
        <v>177</v>
      </c>
      <c r="F44" s="30"/>
      <c r="G44" s="30"/>
      <c r="H44" s="31" t="s">
        <v>173</v>
      </c>
      <c r="I44" s="29" t="s">
        <v>178</v>
      </c>
      <c r="J44" s="32" t="s">
        <v>130</v>
      </c>
      <c r="K44" s="32"/>
    </row>
    <row r="45" spans="1:11" ht="45.75" customHeight="1">
      <c r="A45" s="12" t="s">
        <v>40</v>
      </c>
      <c r="B45" s="28" t="s">
        <v>41</v>
      </c>
      <c r="C45" s="15">
        <v>4</v>
      </c>
      <c r="D45" s="29" t="s">
        <v>97</v>
      </c>
      <c r="E45" s="30" t="s">
        <v>179</v>
      </c>
      <c r="F45" s="30"/>
      <c r="G45" s="30"/>
      <c r="H45" s="31" t="s">
        <v>173</v>
      </c>
      <c r="I45" s="29" t="s">
        <v>180</v>
      </c>
      <c r="J45" s="32" t="s">
        <v>130</v>
      </c>
      <c r="K45" s="32"/>
    </row>
    <row r="46" spans="1:11" ht="45.75" customHeight="1" thickBot="1">
      <c r="A46" s="12" t="s">
        <v>40</v>
      </c>
      <c r="B46" s="28" t="s">
        <v>41</v>
      </c>
      <c r="C46" s="15">
        <v>5</v>
      </c>
      <c r="D46" s="29" t="s">
        <v>97</v>
      </c>
      <c r="E46" s="30" t="s">
        <v>181</v>
      </c>
      <c r="F46" s="30"/>
      <c r="G46" s="30"/>
      <c r="H46" s="31" t="s">
        <v>173</v>
      </c>
      <c r="I46" s="29" t="s">
        <v>182</v>
      </c>
      <c r="J46" s="32" t="s">
        <v>130</v>
      </c>
      <c r="K46" s="32"/>
    </row>
    <row r="47" spans="1:11" ht="45.75" customHeight="1" thickBot="1">
      <c r="A47" s="21" t="s">
        <v>43</v>
      </c>
      <c r="B47" s="22" t="s">
        <v>44</v>
      </c>
      <c r="C47" s="23">
        <v>1</v>
      </c>
      <c r="D47" s="24" t="s">
        <v>97</v>
      </c>
      <c r="E47" s="42" t="s">
        <v>341</v>
      </c>
      <c r="F47" s="25"/>
      <c r="G47" s="25"/>
      <c r="H47" s="26" t="s">
        <v>183</v>
      </c>
      <c r="I47" s="34" t="s">
        <v>184</v>
      </c>
      <c r="J47" s="27" t="s">
        <v>130</v>
      </c>
      <c r="K47" s="27"/>
    </row>
    <row r="48" spans="1:11" ht="45.75" customHeight="1" thickBot="1">
      <c r="A48" s="12" t="s">
        <v>43</v>
      </c>
      <c r="B48" s="28" t="s">
        <v>44</v>
      </c>
      <c r="C48" s="15">
        <v>2</v>
      </c>
      <c r="D48" s="29" t="s">
        <v>97</v>
      </c>
      <c r="E48" s="42" t="s">
        <v>342</v>
      </c>
      <c r="F48" s="30"/>
      <c r="G48" s="30"/>
      <c r="H48" s="31" t="s">
        <v>183</v>
      </c>
      <c r="I48" s="29" t="s">
        <v>185</v>
      </c>
      <c r="J48" s="32" t="s">
        <v>130</v>
      </c>
      <c r="K48" s="32"/>
    </row>
    <row r="49" spans="1:11" ht="45.75" customHeight="1" thickBot="1">
      <c r="A49" s="12" t="s">
        <v>43</v>
      </c>
      <c r="B49" s="28" t="s">
        <v>44</v>
      </c>
      <c r="C49" s="15">
        <v>3</v>
      </c>
      <c r="D49" s="29" t="s">
        <v>97</v>
      </c>
      <c r="E49" s="42" t="s">
        <v>343</v>
      </c>
      <c r="F49" s="30"/>
      <c r="G49" s="30"/>
      <c r="H49" s="31" t="s">
        <v>183</v>
      </c>
      <c r="I49" s="29" t="s">
        <v>186</v>
      </c>
      <c r="J49" s="32" t="s">
        <v>130</v>
      </c>
      <c r="K49" s="32"/>
    </row>
    <row r="50" spans="1:11" ht="45.75" customHeight="1" thickBot="1">
      <c r="A50" s="12" t="s">
        <v>43</v>
      </c>
      <c r="B50" s="28" t="s">
        <v>44</v>
      </c>
      <c r="C50" s="15">
        <v>4</v>
      </c>
      <c r="D50" s="29" t="s">
        <v>97</v>
      </c>
      <c r="E50" s="42" t="s">
        <v>344</v>
      </c>
      <c r="F50" s="30"/>
      <c r="G50" s="30"/>
      <c r="H50" s="31" t="s">
        <v>183</v>
      </c>
      <c r="I50" s="29" t="s">
        <v>187</v>
      </c>
      <c r="J50" s="32" t="s">
        <v>130</v>
      </c>
      <c r="K50" s="32"/>
    </row>
    <row r="51" spans="1:11" ht="45.75" customHeight="1" thickBot="1">
      <c r="A51" s="12" t="s">
        <v>43</v>
      </c>
      <c r="B51" s="28" t="s">
        <v>44</v>
      </c>
      <c r="C51" s="15">
        <v>5</v>
      </c>
      <c r="D51" s="29" t="s">
        <v>97</v>
      </c>
      <c r="E51" s="42" t="s">
        <v>345</v>
      </c>
      <c r="F51" s="30"/>
      <c r="G51" s="30"/>
      <c r="H51" s="31" t="s">
        <v>183</v>
      </c>
      <c r="I51" s="29" t="s">
        <v>188</v>
      </c>
      <c r="J51" s="32" t="s">
        <v>130</v>
      </c>
      <c r="K51" s="32"/>
    </row>
    <row r="52" spans="1:11" ht="45.75" customHeight="1" thickBot="1">
      <c r="A52" s="12" t="s">
        <v>43</v>
      </c>
      <c r="B52" s="28" t="s">
        <v>44</v>
      </c>
      <c r="C52" s="15">
        <v>6</v>
      </c>
      <c r="D52" s="29" t="s">
        <v>97</v>
      </c>
      <c r="E52" s="42" t="s">
        <v>346</v>
      </c>
      <c r="F52" s="30"/>
      <c r="G52" s="30"/>
      <c r="H52" s="31" t="s">
        <v>183</v>
      </c>
      <c r="I52" s="29" t="s">
        <v>189</v>
      </c>
      <c r="J52" s="32" t="s">
        <v>130</v>
      </c>
      <c r="K52" s="32"/>
    </row>
    <row r="53" spans="1:11" ht="45.75" customHeight="1" thickBot="1">
      <c r="A53" s="12" t="s">
        <v>43</v>
      </c>
      <c r="B53" s="28" t="s">
        <v>44</v>
      </c>
      <c r="C53" s="15">
        <v>7</v>
      </c>
      <c r="D53" s="29" t="s">
        <v>97</v>
      </c>
      <c r="E53" s="42" t="s">
        <v>347</v>
      </c>
      <c r="F53" s="30"/>
      <c r="G53" s="30"/>
      <c r="H53" s="31" t="s">
        <v>183</v>
      </c>
      <c r="I53" s="29" t="s">
        <v>190</v>
      </c>
      <c r="J53" s="32" t="s">
        <v>130</v>
      </c>
      <c r="K53" s="32"/>
    </row>
    <row r="54" spans="1:11" ht="45.75" customHeight="1" thickBot="1">
      <c r="A54" s="12" t="s">
        <v>43</v>
      </c>
      <c r="B54" s="28" t="s">
        <v>44</v>
      </c>
      <c r="C54" s="15">
        <v>8</v>
      </c>
      <c r="D54" s="29" t="s">
        <v>97</v>
      </c>
      <c r="E54" s="42" t="s">
        <v>348</v>
      </c>
      <c r="F54" s="30"/>
      <c r="G54" s="30"/>
      <c r="H54" s="31" t="s">
        <v>183</v>
      </c>
      <c r="I54" s="29" t="s">
        <v>191</v>
      </c>
      <c r="J54" s="32" t="s">
        <v>130</v>
      </c>
      <c r="K54" s="32"/>
    </row>
    <row r="55" spans="1:11" ht="45.75" customHeight="1" thickBot="1">
      <c r="A55" s="12" t="s">
        <v>43</v>
      </c>
      <c r="B55" s="28" t="s">
        <v>44</v>
      </c>
      <c r="C55" s="15">
        <v>9</v>
      </c>
      <c r="D55" s="29" t="s">
        <v>97</v>
      </c>
      <c r="E55" s="42" t="s">
        <v>349</v>
      </c>
      <c r="F55" s="30"/>
      <c r="G55" s="30"/>
      <c r="H55" s="31" t="s">
        <v>183</v>
      </c>
      <c r="I55" s="29" t="s">
        <v>192</v>
      </c>
      <c r="J55" s="32" t="s">
        <v>130</v>
      </c>
      <c r="K55" s="32"/>
    </row>
    <row r="56" spans="1:11" ht="45.75" customHeight="1" thickBot="1">
      <c r="A56" s="12" t="s">
        <v>43</v>
      </c>
      <c r="B56" s="28" t="s">
        <v>44</v>
      </c>
      <c r="C56" s="15">
        <v>10</v>
      </c>
      <c r="D56" s="29" t="s">
        <v>97</v>
      </c>
      <c r="E56" s="42" t="s">
        <v>350</v>
      </c>
      <c r="F56" s="30"/>
      <c r="G56" s="30"/>
      <c r="H56" s="31" t="s">
        <v>183</v>
      </c>
      <c r="I56" s="29" t="s">
        <v>193</v>
      </c>
      <c r="J56" s="32" t="s">
        <v>130</v>
      </c>
      <c r="K56" s="32"/>
    </row>
    <row r="57" spans="1:11" ht="45.75" customHeight="1">
      <c r="A57" s="21" t="s">
        <v>46</v>
      </c>
      <c r="B57" s="23" t="s">
        <v>47</v>
      </c>
      <c r="C57" s="23">
        <v>1</v>
      </c>
      <c r="D57" s="24" t="s">
        <v>90</v>
      </c>
      <c r="E57" s="25" t="s">
        <v>194</v>
      </c>
      <c r="F57" s="25" t="s">
        <v>72</v>
      </c>
      <c r="G57" s="25" t="s">
        <v>195</v>
      </c>
      <c r="H57" s="26" t="s">
        <v>196</v>
      </c>
      <c r="I57" s="34" t="s">
        <v>197</v>
      </c>
      <c r="J57" s="27" t="s">
        <v>93</v>
      </c>
      <c r="K57" s="27"/>
    </row>
    <row r="58" spans="1:11" ht="45.75" customHeight="1">
      <c r="A58" s="12" t="s">
        <v>46</v>
      </c>
      <c r="B58" s="15" t="s">
        <v>47</v>
      </c>
      <c r="C58" s="15">
        <v>2</v>
      </c>
      <c r="D58" s="29" t="s">
        <v>97</v>
      </c>
      <c r="E58" s="30" t="s">
        <v>198</v>
      </c>
      <c r="F58" s="30"/>
      <c r="G58" s="30"/>
      <c r="H58" s="31" t="s">
        <v>196</v>
      </c>
      <c r="I58" s="29" t="s">
        <v>199</v>
      </c>
      <c r="J58" s="32" t="s">
        <v>93</v>
      </c>
      <c r="K58" s="32"/>
    </row>
    <row r="59" spans="1:11" ht="45.75" customHeight="1">
      <c r="A59" s="12" t="s">
        <v>46</v>
      </c>
      <c r="B59" s="15" t="s">
        <v>47</v>
      </c>
      <c r="C59" s="15">
        <v>3</v>
      </c>
      <c r="D59" s="29" t="s">
        <v>97</v>
      </c>
      <c r="E59" s="30" t="s">
        <v>200</v>
      </c>
      <c r="F59" s="30"/>
      <c r="G59" s="30"/>
      <c r="H59" s="31" t="s">
        <v>196</v>
      </c>
      <c r="I59" s="29" t="s">
        <v>201</v>
      </c>
      <c r="J59" s="32" t="s">
        <v>93</v>
      </c>
      <c r="K59" s="32"/>
    </row>
    <row r="60" spans="1:11" ht="45.75" customHeight="1">
      <c r="A60" s="12" t="s">
        <v>46</v>
      </c>
      <c r="B60" s="15" t="s">
        <v>47</v>
      </c>
      <c r="C60" s="15">
        <v>4</v>
      </c>
      <c r="D60" s="29" t="s">
        <v>97</v>
      </c>
      <c r="E60" s="30" t="s">
        <v>202</v>
      </c>
      <c r="F60" s="30"/>
      <c r="G60" s="30"/>
      <c r="H60" s="31" t="s">
        <v>196</v>
      </c>
      <c r="I60" s="29" t="s">
        <v>203</v>
      </c>
      <c r="J60" s="32" t="s">
        <v>93</v>
      </c>
      <c r="K60" s="32"/>
    </row>
    <row r="61" spans="1:11" ht="45.75" customHeight="1" thickBot="1">
      <c r="A61" s="12" t="s">
        <v>46</v>
      </c>
      <c r="B61" s="15" t="s">
        <v>47</v>
      </c>
      <c r="C61" s="15">
        <v>5</v>
      </c>
      <c r="D61" s="29" t="s">
        <v>97</v>
      </c>
      <c r="E61" s="30" t="s">
        <v>204</v>
      </c>
      <c r="F61" s="30"/>
      <c r="G61" s="30"/>
      <c r="H61" s="31" t="s">
        <v>196</v>
      </c>
      <c r="I61" s="29" t="s">
        <v>205</v>
      </c>
      <c r="J61" s="32" t="s">
        <v>93</v>
      </c>
      <c r="K61" s="32"/>
    </row>
    <row r="62" spans="1:11" ht="45.75" customHeight="1">
      <c r="A62" s="12" t="s">
        <v>46</v>
      </c>
      <c r="B62" s="15" t="s">
        <v>47</v>
      </c>
      <c r="C62" s="15">
        <v>6</v>
      </c>
      <c r="D62" s="29" t="s">
        <v>90</v>
      </c>
      <c r="E62" s="41" t="s">
        <v>352</v>
      </c>
      <c r="F62" s="25" t="s">
        <v>72</v>
      </c>
      <c r="G62" s="25" t="s">
        <v>351</v>
      </c>
      <c r="H62" s="31" t="s">
        <v>196</v>
      </c>
      <c r="I62" s="29" t="s">
        <v>206</v>
      </c>
      <c r="J62" s="32" t="s">
        <v>93</v>
      </c>
      <c r="K62" s="32"/>
    </row>
    <row r="63" spans="1:11" ht="45.75" customHeight="1">
      <c r="A63" s="12" t="s">
        <v>46</v>
      </c>
      <c r="B63" s="15" t="s">
        <v>47</v>
      </c>
      <c r="C63" s="15">
        <v>7</v>
      </c>
      <c r="D63" s="29" t="s">
        <v>97</v>
      </c>
      <c r="E63" s="30" t="s">
        <v>207</v>
      </c>
      <c r="F63" s="30"/>
      <c r="G63" s="30"/>
      <c r="H63" s="31" t="s">
        <v>196</v>
      </c>
      <c r="I63" s="29" t="s">
        <v>208</v>
      </c>
      <c r="J63" s="32" t="s">
        <v>93</v>
      </c>
      <c r="K63" s="32"/>
    </row>
    <row r="64" spans="1:11" ht="45.75" customHeight="1">
      <c r="A64" s="12" t="s">
        <v>46</v>
      </c>
      <c r="B64" s="15" t="s">
        <v>47</v>
      </c>
      <c r="C64" s="15">
        <v>8</v>
      </c>
      <c r="D64" s="29" t="s">
        <v>97</v>
      </c>
      <c r="E64" s="30" t="s">
        <v>209</v>
      </c>
      <c r="F64" s="30"/>
      <c r="G64" s="30"/>
      <c r="H64" s="31" t="s">
        <v>196</v>
      </c>
      <c r="I64" s="29" t="s">
        <v>210</v>
      </c>
      <c r="J64" s="32" t="s">
        <v>93</v>
      </c>
      <c r="K64" s="32"/>
    </row>
    <row r="65" spans="1:11" ht="45.75" customHeight="1">
      <c r="A65" s="12" t="s">
        <v>46</v>
      </c>
      <c r="B65" s="15" t="s">
        <v>47</v>
      </c>
      <c r="C65" s="15">
        <v>9</v>
      </c>
      <c r="D65" s="29" t="s">
        <v>97</v>
      </c>
      <c r="E65" s="30" t="s">
        <v>200</v>
      </c>
      <c r="F65" s="30"/>
      <c r="G65" s="30"/>
      <c r="H65" s="31" t="s">
        <v>196</v>
      </c>
      <c r="I65" s="29" t="s">
        <v>211</v>
      </c>
      <c r="J65" s="32" t="s">
        <v>93</v>
      </c>
      <c r="K65" s="32"/>
    </row>
    <row r="66" spans="1:11" ht="45.75" customHeight="1" thickBot="1">
      <c r="A66" s="12" t="s">
        <v>46</v>
      </c>
      <c r="B66" s="15" t="s">
        <v>47</v>
      </c>
      <c r="C66" s="15">
        <v>10</v>
      </c>
      <c r="D66" s="29" t="s">
        <v>97</v>
      </c>
      <c r="E66" s="30" t="s">
        <v>207</v>
      </c>
      <c r="F66" s="30"/>
      <c r="G66" s="30"/>
      <c r="H66" s="31" t="s">
        <v>196</v>
      </c>
      <c r="I66" s="29" t="s">
        <v>212</v>
      </c>
      <c r="J66" s="32" t="s">
        <v>93</v>
      </c>
      <c r="K66" s="32"/>
    </row>
    <row r="67" spans="1:11" ht="45.75" customHeight="1">
      <c r="A67" s="21" t="s">
        <v>49</v>
      </c>
      <c r="B67" s="22" t="s">
        <v>50</v>
      </c>
      <c r="C67" s="23">
        <v>1</v>
      </c>
      <c r="D67" s="24" t="s">
        <v>90</v>
      </c>
      <c r="E67" s="33" t="s">
        <v>213</v>
      </c>
      <c r="F67" s="25" t="s">
        <v>77</v>
      </c>
      <c r="G67" s="25" t="s">
        <v>214</v>
      </c>
      <c r="H67" s="26" t="s">
        <v>215</v>
      </c>
      <c r="I67" s="34" t="s">
        <v>216</v>
      </c>
      <c r="J67" s="27" t="s">
        <v>93</v>
      </c>
      <c r="K67" s="27"/>
    </row>
    <row r="68" spans="1:11" ht="45.75" customHeight="1">
      <c r="A68" s="12" t="s">
        <v>49</v>
      </c>
      <c r="B68" s="28" t="s">
        <v>50</v>
      </c>
      <c r="C68" s="15">
        <v>2</v>
      </c>
      <c r="D68" s="29" t="s">
        <v>97</v>
      </c>
      <c r="E68" s="30" t="s">
        <v>217</v>
      </c>
      <c r="F68" s="30"/>
      <c r="G68" s="30"/>
      <c r="H68" s="31" t="s">
        <v>215</v>
      </c>
      <c r="I68" s="29" t="s">
        <v>218</v>
      </c>
      <c r="J68" s="32" t="s">
        <v>93</v>
      </c>
      <c r="K68" s="32"/>
    </row>
    <row r="69" spans="1:11" ht="45.75" customHeight="1">
      <c r="A69" s="12" t="s">
        <v>49</v>
      </c>
      <c r="B69" s="28" t="s">
        <v>50</v>
      </c>
      <c r="C69" s="15">
        <v>3</v>
      </c>
      <c r="D69" s="29" t="s">
        <v>97</v>
      </c>
      <c r="E69" s="30" t="s">
        <v>219</v>
      </c>
      <c r="F69" s="30"/>
      <c r="G69" s="30"/>
      <c r="H69" s="31" t="s">
        <v>215</v>
      </c>
      <c r="I69" s="29" t="s">
        <v>220</v>
      </c>
      <c r="J69" s="32" t="s">
        <v>93</v>
      </c>
      <c r="K69" s="32"/>
    </row>
    <row r="70" spans="1:11" ht="45.75" customHeight="1">
      <c r="A70" s="12" t="s">
        <v>49</v>
      </c>
      <c r="B70" s="28" t="s">
        <v>50</v>
      </c>
      <c r="C70" s="15">
        <v>4</v>
      </c>
      <c r="D70" s="29" t="s">
        <v>97</v>
      </c>
      <c r="E70" s="30" t="s">
        <v>221</v>
      </c>
      <c r="F70" s="30"/>
      <c r="G70" s="30"/>
      <c r="H70" s="31" t="s">
        <v>215</v>
      </c>
      <c r="I70" s="29" t="s">
        <v>222</v>
      </c>
      <c r="J70" s="32" t="s">
        <v>93</v>
      </c>
      <c r="K70" s="32"/>
    </row>
    <row r="71" spans="1:11" ht="45.75" customHeight="1">
      <c r="A71" s="12" t="s">
        <v>49</v>
      </c>
      <c r="B71" s="28" t="s">
        <v>50</v>
      </c>
      <c r="C71" s="15">
        <v>5</v>
      </c>
      <c r="D71" s="29" t="s">
        <v>97</v>
      </c>
      <c r="E71" s="30" t="s">
        <v>223</v>
      </c>
      <c r="F71" s="30"/>
      <c r="G71" s="30"/>
      <c r="H71" s="31" t="s">
        <v>215</v>
      </c>
      <c r="I71" s="29" t="s">
        <v>224</v>
      </c>
      <c r="J71" s="32" t="s">
        <v>93</v>
      </c>
      <c r="K71" s="32"/>
    </row>
    <row r="72" spans="1:11" ht="45.75" customHeight="1">
      <c r="A72" s="12" t="s">
        <v>49</v>
      </c>
      <c r="B72" s="28" t="s">
        <v>50</v>
      </c>
      <c r="C72" s="15">
        <v>6</v>
      </c>
      <c r="D72" s="29" t="s">
        <v>90</v>
      </c>
      <c r="E72" s="39" t="s">
        <v>353</v>
      </c>
      <c r="F72" s="30" t="s">
        <v>354</v>
      </c>
      <c r="G72" s="30"/>
      <c r="H72" s="31" t="s">
        <v>215</v>
      </c>
      <c r="I72" s="29" t="s">
        <v>225</v>
      </c>
      <c r="J72" s="32" t="s">
        <v>93</v>
      </c>
      <c r="K72" s="32"/>
    </row>
    <row r="73" spans="1:11" ht="45.75" customHeight="1">
      <c r="A73" s="12" t="s">
        <v>49</v>
      </c>
      <c r="B73" s="28" t="s">
        <v>50</v>
      </c>
      <c r="C73" s="15">
        <v>7</v>
      </c>
      <c r="D73" s="29" t="s">
        <v>97</v>
      </c>
      <c r="E73" s="30" t="s">
        <v>226</v>
      </c>
      <c r="F73" s="30"/>
      <c r="G73" s="30"/>
      <c r="H73" s="31" t="s">
        <v>215</v>
      </c>
      <c r="I73" s="29" t="s">
        <v>227</v>
      </c>
      <c r="J73" s="32" t="s">
        <v>93</v>
      </c>
      <c r="K73" s="32"/>
    </row>
    <row r="74" spans="1:11" ht="45.75" customHeight="1">
      <c r="A74" s="12" t="s">
        <v>49</v>
      </c>
      <c r="B74" s="28" t="s">
        <v>50</v>
      </c>
      <c r="C74" s="15">
        <v>8</v>
      </c>
      <c r="D74" s="29" t="s">
        <v>97</v>
      </c>
      <c r="E74" s="30" t="s">
        <v>228</v>
      </c>
      <c r="F74" s="30"/>
      <c r="G74" s="30"/>
      <c r="H74" s="31" t="s">
        <v>215</v>
      </c>
      <c r="I74" s="29" t="s">
        <v>229</v>
      </c>
      <c r="J74" s="32" t="s">
        <v>93</v>
      </c>
      <c r="K74" s="32"/>
    </row>
    <row r="75" spans="1:11" ht="45.75" customHeight="1">
      <c r="A75" s="12" t="s">
        <v>49</v>
      </c>
      <c r="B75" s="28" t="s">
        <v>50</v>
      </c>
      <c r="C75" s="15">
        <v>9</v>
      </c>
      <c r="D75" s="29" t="s">
        <v>97</v>
      </c>
      <c r="E75" s="30" t="s">
        <v>230</v>
      </c>
      <c r="F75" s="30"/>
      <c r="G75" s="30"/>
      <c r="H75" s="31" t="s">
        <v>215</v>
      </c>
      <c r="I75" s="29" t="s">
        <v>231</v>
      </c>
      <c r="J75" s="32" t="s">
        <v>93</v>
      </c>
      <c r="K75" s="32"/>
    </row>
    <row r="76" spans="1:11" ht="45.75" customHeight="1" thickBot="1">
      <c r="A76" s="12" t="s">
        <v>49</v>
      </c>
      <c r="B76" s="28" t="s">
        <v>50</v>
      </c>
      <c r="C76" s="15">
        <v>10</v>
      </c>
      <c r="D76" s="32" t="s">
        <v>232</v>
      </c>
      <c r="E76" s="35" t="s">
        <v>233</v>
      </c>
      <c r="F76" s="30" t="s">
        <v>234</v>
      </c>
      <c r="G76" s="35" t="s">
        <v>235</v>
      </c>
      <c r="H76" s="31" t="s">
        <v>215</v>
      </c>
      <c r="I76" s="29" t="s">
        <v>236</v>
      </c>
      <c r="J76" s="32" t="s">
        <v>93</v>
      </c>
      <c r="K76" s="32"/>
    </row>
    <row r="77" spans="1:11" ht="45.75" customHeight="1">
      <c r="A77" s="21" t="s">
        <v>52</v>
      </c>
      <c r="B77" s="22" t="s">
        <v>53</v>
      </c>
      <c r="C77" s="23">
        <v>1</v>
      </c>
      <c r="D77" s="24" t="s">
        <v>90</v>
      </c>
      <c r="E77" s="25" t="s">
        <v>237</v>
      </c>
      <c r="F77" s="25" t="s">
        <v>80</v>
      </c>
      <c r="G77" s="33" t="s">
        <v>238</v>
      </c>
      <c r="H77" s="26" t="s">
        <v>239</v>
      </c>
      <c r="I77" s="34" t="s">
        <v>240</v>
      </c>
      <c r="J77" s="27" t="s">
        <v>130</v>
      </c>
      <c r="K77" s="27"/>
    </row>
    <row r="78" spans="1:11" ht="45.75" customHeight="1">
      <c r="A78" s="12" t="s">
        <v>52</v>
      </c>
      <c r="B78" s="28" t="s">
        <v>53</v>
      </c>
      <c r="C78" s="15">
        <v>2</v>
      </c>
      <c r="D78" s="29" t="s">
        <v>97</v>
      </c>
      <c r="E78" s="30" t="s">
        <v>241</v>
      </c>
      <c r="F78" s="30"/>
      <c r="G78" s="30"/>
      <c r="H78" s="31" t="s">
        <v>239</v>
      </c>
      <c r="I78" s="29" t="s">
        <v>242</v>
      </c>
      <c r="J78" s="32" t="s">
        <v>130</v>
      </c>
      <c r="K78" s="32"/>
    </row>
    <row r="79" spans="1:11" ht="45.75" customHeight="1">
      <c r="A79" s="12" t="s">
        <v>52</v>
      </c>
      <c r="B79" s="28" t="s">
        <v>53</v>
      </c>
      <c r="C79" s="15">
        <v>3</v>
      </c>
      <c r="D79" s="29" t="s">
        <v>97</v>
      </c>
      <c r="E79" s="30" t="s">
        <v>243</v>
      </c>
      <c r="F79" s="30"/>
      <c r="G79" s="30"/>
      <c r="H79" s="31" t="s">
        <v>239</v>
      </c>
      <c r="I79" s="29" t="s">
        <v>244</v>
      </c>
      <c r="J79" s="32" t="s">
        <v>130</v>
      </c>
      <c r="K79" s="32"/>
    </row>
    <row r="80" spans="1:11" ht="45.75" customHeight="1">
      <c r="A80" s="12" t="s">
        <v>52</v>
      </c>
      <c r="B80" s="28" t="s">
        <v>53</v>
      </c>
      <c r="C80" s="15">
        <v>4</v>
      </c>
      <c r="D80" s="29" t="s">
        <v>97</v>
      </c>
      <c r="E80" s="30" t="s">
        <v>245</v>
      </c>
      <c r="F80" s="30"/>
      <c r="G80" s="30"/>
      <c r="H80" s="31" t="s">
        <v>239</v>
      </c>
      <c r="I80" s="29" t="s">
        <v>246</v>
      </c>
      <c r="J80" s="32" t="s">
        <v>130</v>
      </c>
      <c r="K80" s="32"/>
    </row>
    <row r="81" spans="1:11" ht="45.75" customHeight="1">
      <c r="A81" s="12" t="s">
        <v>52</v>
      </c>
      <c r="B81" s="28" t="s">
        <v>53</v>
      </c>
      <c r="C81" s="15">
        <v>5</v>
      </c>
      <c r="D81" s="29" t="s">
        <v>97</v>
      </c>
      <c r="E81" s="30" t="s">
        <v>247</v>
      </c>
      <c r="F81" s="30"/>
      <c r="G81" s="30"/>
      <c r="H81" s="31" t="s">
        <v>239</v>
      </c>
      <c r="I81" s="29" t="s">
        <v>248</v>
      </c>
      <c r="J81" s="32" t="s">
        <v>130</v>
      </c>
      <c r="K81" s="32"/>
    </row>
    <row r="82" spans="1:11" ht="45.75" customHeight="1">
      <c r="A82" s="12" t="s">
        <v>52</v>
      </c>
      <c r="B82" s="28" t="s">
        <v>53</v>
      </c>
      <c r="C82" s="15">
        <v>6</v>
      </c>
      <c r="D82" s="29" t="s">
        <v>97</v>
      </c>
      <c r="E82" s="30" t="s">
        <v>249</v>
      </c>
      <c r="F82" s="30"/>
      <c r="G82" s="30"/>
      <c r="H82" s="31" t="s">
        <v>239</v>
      </c>
      <c r="I82" s="29" t="s">
        <v>250</v>
      </c>
      <c r="J82" s="32" t="s">
        <v>130</v>
      </c>
      <c r="K82" s="32"/>
    </row>
    <row r="83" spans="1:11" ht="45.75" customHeight="1">
      <c r="A83" s="12" t="s">
        <v>52</v>
      </c>
      <c r="B83" s="28" t="s">
        <v>53</v>
      </c>
      <c r="C83" s="15">
        <v>7</v>
      </c>
      <c r="D83" s="29" t="s">
        <v>97</v>
      </c>
      <c r="E83" s="30" t="s">
        <v>251</v>
      </c>
      <c r="F83" s="30"/>
      <c r="G83" s="30"/>
      <c r="H83" s="31" t="s">
        <v>239</v>
      </c>
      <c r="I83" s="29" t="s">
        <v>252</v>
      </c>
      <c r="J83" s="32" t="s">
        <v>130</v>
      </c>
      <c r="K83" s="32"/>
    </row>
    <row r="84" spans="1:11" ht="45.75" customHeight="1">
      <c r="A84" s="12" t="s">
        <v>52</v>
      </c>
      <c r="B84" s="28" t="s">
        <v>53</v>
      </c>
      <c r="C84" s="15">
        <v>8</v>
      </c>
      <c r="D84" s="29" t="s">
        <v>97</v>
      </c>
      <c r="E84" s="30" t="s">
        <v>253</v>
      </c>
      <c r="F84" s="30"/>
      <c r="G84" s="30"/>
      <c r="H84" s="31" t="s">
        <v>239</v>
      </c>
      <c r="I84" s="29" t="s">
        <v>254</v>
      </c>
      <c r="J84" s="32" t="s">
        <v>130</v>
      </c>
      <c r="K84" s="32"/>
    </row>
    <row r="85" spans="1:11" ht="45.75" customHeight="1">
      <c r="A85" s="12" t="s">
        <v>52</v>
      </c>
      <c r="B85" s="28" t="s">
        <v>53</v>
      </c>
      <c r="C85" s="15">
        <v>9</v>
      </c>
      <c r="D85" s="29" t="s">
        <v>97</v>
      </c>
      <c r="E85" s="30" t="s">
        <v>255</v>
      </c>
      <c r="F85" s="30"/>
      <c r="G85" s="30"/>
      <c r="H85" s="31" t="s">
        <v>239</v>
      </c>
      <c r="I85" s="29" t="s">
        <v>256</v>
      </c>
      <c r="J85" s="32" t="s">
        <v>130</v>
      </c>
      <c r="K85" s="32"/>
    </row>
    <row r="86" spans="1:11" ht="45.75" customHeight="1" thickBot="1">
      <c r="A86" s="12" t="s">
        <v>52</v>
      </c>
      <c r="B86" s="28" t="s">
        <v>53</v>
      </c>
      <c r="C86" s="15">
        <v>10</v>
      </c>
      <c r="D86" s="29" t="s">
        <v>97</v>
      </c>
      <c r="E86" s="30" t="s">
        <v>257</v>
      </c>
      <c r="F86" s="30"/>
      <c r="G86" s="30"/>
      <c r="H86" s="31" t="s">
        <v>239</v>
      </c>
      <c r="I86" s="29" t="s">
        <v>258</v>
      </c>
      <c r="J86" s="32" t="s">
        <v>130</v>
      </c>
      <c r="K86" s="32"/>
    </row>
    <row r="87" spans="1:11" ht="45.75" customHeight="1">
      <c r="A87" s="21" t="s">
        <v>55</v>
      </c>
      <c r="B87" s="23" t="s">
        <v>56</v>
      </c>
      <c r="C87" s="23">
        <v>1</v>
      </c>
      <c r="D87" s="24" t="s">
        <v>90</v>
      </c>
      <c r="E87" s="25" t="s">
        <v>259</v>
      </c>
      <c r="F87" s="25" t="s">
        <v>76</v>
      </c>
      <c r="G87" s="33" t="s">
        <v>260</v>
      </c>
      <c r="H87" s="26" t="s">
        <v>261</v>
      </c>
      <c r="I87" s="34" t="s">
        <v>216</v>
      </c>
      <c r="J87" s="27" t="s">
        <v>93</v>
      </c>
      <c r="K87" s="27"/>
    </row>
    <row r="88" spans="1:11" ht="45.75" customHeight="1">
      <c r="A88" s="12" t="s">
        <v>55</v>
      </c>
      <c r="B88" s="15" t="s">
        <v>56</v>
      </c>
      <c r="C88" s="15">
        <v>2</v>
      </c>
      <c r="D88" s="29" t="s">
        <v>97</v>
      </c>
      <c r="E88" s="30" t="s">
        <v>262</v>
      </c>
      <c r="F88" s="30"/>
      <c r="G88" s="30"/>
      <c r="H88" s="31" t="s">
        <v>261</v>
      </c>
      <c r="I88" s="29" t="s">
        <v>263</v>
      </c>
      <c r="J88" s="32" t="s">
        <v>93</v>
      </c>
      <c r="K88" s="32"/>
    </row>
    <row r="89" spans="1:11" ht="45.75" customHeight="1">
      <c r="A89" s="12" t="s">
        <v>55</v>
      </c>
      <c r="B89" s="15" t="s">
        <v>56</v>
      </c>
      <c r="C89" s="15">
        <v>3</v>
      </c>
      <c r="D89" s="29" t="s">
        <v>97</v>
      </c>
      <c r="E89" s="30" t="s">
        <v>264</v>
      </c>
      <c r="F89" s="30"/>
      <c r="G89" s="30"/>
      <c r="H89" s="31" t="s">
        <v>261</v>
      </c>
      <c r="I89" s="29" t="s">
        <v>265</v>
      </c>
      <c r="J89" s="32" t="s">
        <v>93</v>
      </c>
      <c r="K89" s="32"/>
    </row>
    <row r="90" spans="1:11" ht="45.75" customHeight="1">
      <c r="A90" s="12" t="s">
        <v>55</v>
      </c>
      <c r="B90" s="15" t="s">
        <v>56</v>
      </c>
      <c r="C90" s="15">
        <v>4</v>
      </c>
      <c r="D90" s="29" t="s">
        <v>97</v>
      </c>
      <c r="E90" s="30" t="s">
        <v>266</v>
      </c>
      <c r="F90" s="30"/>
      <c r="G90" s="30"/>
      <c r="H90" s="31" t="s">
        <v>261</v>
      </c>
      <c r="I90" s="29" t="s">
        <v>267</v>
      </c>
      <c r="J90" s="32" t="s">
        <v>93</v>
      </c>
      <c r="K90" s="32"/>
    </row>
    <row r="91" spans="1:11" ht="45.75" customHeight="1" thickBot="1">
      <c r="A91" s="12" t="s">
        <v>55</v>
      </c>
      <c r="B91" s="15" t="s">
        <v>56</v>
      </c>
      <c r="C91" s="15">
        <v>5</v>
      </c>
      <c r="D91" s="29" t="s">
        <v>97</v>
      </c>
      <c r="E91" s="30" t="s">
        <v>268</v>
      </c>
      <c r="F91" s="30"/>
      <c r="G91" s="30"/>
      <c r="H91" s="31" t="s">
        <v>261</v>
      </c>
      <c r="I91" s="29" t="s">
        <v>269</v>
      </c>
      <c r="J91" s="32" t="s">
        <v>93</v>
      </c>
      <c r="K91" s="32"/>
    </row>
    <row r="92" spans="1:11" ht="45.75" customHeight="1">
      <c r="A92" s="21" t="s">
        <v>58</v>
      </c>
      <c r="B92" s="22" t="s">
        <v>59</v>
      </c>
      <c r="C92" s="23">
        <v>1</v>
      </c>
      <c r="D92" s="24" t="s">
        <v>90</v>
      </c>
      <c r="E92" s="25" t="s">
        <v>270</v>
      </c>
      <c r="F92" s="25" t="s">
        <v>80</v>
      </c>
      <c r="G92" s="33" t="s">
        <v>271</v>
      </c>
      <c r="H92" s="26" t="s">
        <v>272</v>
      </c>
      <c r="I92" s="34" t="s">
        <v>273</v>
      </c>
      <c r="J92" s="27" t="s">
        <v>130</v>
      </c>
      <c r="K92" s="27"/>
    </row>
    <row r="93" spans="1:11" ht="45.75" customHeight="1">
      <c r="A93" s="12" t="s">
        <v>58</v>
      </c>
      <c r="B93" s="28" t="s">
        <v>59</v>
      </c>
      <c r="C93" s="15">
        <v>2</v>
      </c>
      <c r="D93" s="29" t="s">
        <v>97</v>
      </c>
      <c r="E93" s="30" t="s">
        <v>274</v>
      </c>
      <c r="F93" s="30"/>
      <c r="G93" s="30"/>
      <c r="H93" s="31" t="s">
        <v>272</v>
      </c>
      <c r="I93" s="29" t="s">
        <v>275</v>
      </c>
      <c r="J93" s="32" t="s">
        <v>130</v>
      </c>
      <c r="K93" s="32"/>
    </row>
    <row r="94" spans="1:11" ht="45.75" customHeight="1">
      <c r="A94" s="12" t="s">
        <v>58</v>
      </c>
      <c r="B94" s="28" t="s">
        <v>59</v>
      </c>
      <c r="C94" s="15">
        <v>3</v>
      </c>
      <c r="D94" s="29" t="s">
        <v>97</v>
      </c>
      <c r="E94" s="30" t="s">
        <v>276</v>
      </c>
      <c r="F94" s="30"/>
      <c r="G94" s="30"/>
      <c r="H94" s="31" t="s">
        <v>272</v>
      </c>
      <c r="I94" s="29" t="s">
        <v>277</v>
      </c>
      <c r="J94" s="32" t="s">
        <v>130</v>
      </c>
      <c r="K94" s="32"/>
    </row>
    <row r="95" spans="1:11" ht="45.75" customHeight="1">
      <c r="A95" s="12" t="s">
        <v>58</v>
      </c>
      <c r="B95" s="28" t="s">
        <v>59</v>
      </c>
      <c r="C95" s="15">
        <v>4</v>
      </c>
      <c r="D95" s="29" t="s">
        <v>97</v>
      </c>
      <c r="E95" s="30" t="s">
        <v>278</v>
      </c>
      <c r="F95" s="30"/>
      <c r="G95" s="30"/>
      <c r="H95" s="31" t="s">
        <v>272</v>
      </c>
      <c r="I95" s="29" t="s">
        <v>279</v>
      </c>
      <c r="J95" s="32" t="s">
        <v>130</v>
      </c>
      <c r="K95" s="32"/>
    </row>
    <row r="96" spans="1:11" ht="45.75" customHeight="1" thickBot="1">
      <c r="A96" s="12" t="s">
        <v>58</v>
      </c>
      <c r="B96" s="28" t="s">
        <v>59</v>
      </c>
      <c r="C96" s="15">
        <v>5</v>
      </c>
      <c r="D96" s="29" t="s">
        <v>97</v>
      </c>
      <c r="E96" s="30" t="s">
        <v>280</v>
      </c>
      <c r="F96" s="30"/>
      <c r="G96" s="30"/>
      <c r="H96" s="31" t="s">
        <v>272</v>
      </c>
      <c r="I96" s="29" t="s">
        <v>281</v>
      </c>
      <c r="J96" s="32" t="s">
        <v>130</v>
      </c>
      <c r="K96" s="32"/>
    </row>
    <row r="97" spans="1:11" ht="45.75" customHeight="1">
      <c r="A97" s="21" t="s">
        <v>61</v>
      </c>
      <c r="B97" s="22" t="s">
        <v>282</v>
      </c>
      <c r="C97" s="23">
        <v>1</v>
      </c>
      <c r="D97" s="24" t="s">
        <v>90</v>
      </c>
      <c r="E97" s="33" t="s">
        <v>283</v>
      </c>
      <c r="F97" s="25" t="s">
        <v>76</v>
      </c>
      <c r="G97" s="25" t="s">
        <v>284</v>
      </c>
      <c r="H97" s="26" t="s">
        <v>285</v>
      </c>
      <c r="I97" s="34" t="s">
        <v>286</v>
      </c>
      <c r="J97" s="27" t="s">
        <v>130</v>
      </c>
      <c r="K97" s="27"/>
    </row>
    <row r="98" spans="1:11" ht="45.75" customHeight="1">
      <c r="A98" s="12" t="s">
        <v>61</v>
      </c>
      <c r="B98" s="28" t="s">
        <v>282</v>
      </c>
      <c r="C98" s="15">
        <v>2</v>
      </c>
      <c r="D98" s="29" t="s">
        <v>97</v>
      </c>
      <c r="E98" s="30" t="s">
        <v>287</v>
      </c>
      <c r="F98" s="30"/>
      <c r="G98" s="30"/>
      <c r="H98" s="31" t="s">
        <v>285</v>
      </c>
      <c r="I98" s="29" t="s">
        <v>288</v>
      </c>
      <c r="J98" s="32" t="s">
        <v>130</v>
      </c>
      <c r="K98" s="32"/>
    </row>
    <row r="99" spans="1:11" ht="45.75" customHeight="1">
      <c r="A99" s="12" t="s">
        <v>61</v>
      </c>
      <c r="B99" s="28" t="s">
        <v>282</v>
      </c>
      <c r="C99" s="15">
        <v>3</v>
      </c>
      <c r="D99" s="29" t="s">
        <v>97</v>
      </c>
      <c r="E99" s="30" t="s">
        <v>289</v>
      </c>
      <c r="F99" s="30"/>
      <c r="G99" s="30"/>
      <c r="H99" s="31" t="s">
        <v>285</v>
      </c>
      <c r="I99" s="29" t="s">
        <v>290</v>
      </c>
      <c r="J99" s="32" t="s">
        <v>130</v>
      </c>
      <c r="K99" s="32"/>
    </row>
    <row r="100" spans="1:11" ht="45.75" customHeight="1">
      <c r="A100" s="12" t="s">
        <v>61</v>
      </c>
      <c r="B100" s="28" t="s">
        <v>282</v>
      </c>
      <c r="C100" s="15">
        <v>4</v>
      </c>
      <c r="D100" s="29" t="s">
        <v>97</v>
      </c>
      <c r="E100" s="30" t="s">
        <v>291</v>
      </c>
      <c r="F100" s="30"/>
      <c r="G100" s="30"/>
      <c r="H100" s="31" t="s">
        <v>285</v>
      </c>
      <c r="I100" s="29" t="s">
        <v>292</v>
      </c>
      <c r="J100" s="32" t="s">
        <v>130</v>
      </c>
      <c r="K100" s="32"/>
    </row>
    <row r="101" spans="1:11" ht="45.75" customHeight="1" thickBot="1">
      <c r="A101" s="12" t="s">
        <v>61</v>
      </c>
      <c r="B101" s="28" t="s">
        <v>282</v>
      </c>
      <c r="C101" s="15">
        <v>5</v>
      </c>
      <c r="D101" s="29" t="s">
        <v>97</v>
      </c>
      <c r="E101" s="30" t="s">
        <v>293</v>
      </c>
      <c r="F101" s="30"/>
      <c r="G101" s="30"/>
      <c r="H101" s="31" t="s">
        <v>285</v>
      </c>
      <c r="I101" s="29" t="s">
        <v>294</v>
      </c>
      <c r="J101" s="32" t="s">
        <v>130</v>
      </c>
      <c r="K101" s="32"/>
    </row>
    <row r="102" spans="1:11" ht="45.75" customHeight="1" thickBot="1">
      <c r="A102" s="21" t="s">
        <v>64</v>
      </c>
      <c r="B102" s="22" t="s">
        <v>65</v>
      </c>
      <c r="C102" s="23">
        <v>1</v>
      </c>
      <c r="D102" s="24" t="s">
        <v>90</v>
      </c>
      <c r="E102" s="25" t="s">
        <v>295</v>
      </c>
      <c r="F102" s="25" t="s">
        <v>78</v>
      </c>
      <c r="G102" s="25" t="s">
        <v>296</v>
      </c>
      <c r="H102" s="26" t="s">
        <v>297</v>
      </c>
      <c r="I102" s="34" t="s">
        <v>298</v>
      </c>
      <c r="J102" s="43" t="s">
        <v>355</v>
      </c>
      <c r="K102" s="27"/>
    </row>
    <row r="103" spans="1:11" ht="45.75" customHeight="1" thickBot="1">
      <c r="A103" s="12" t="s">
        <v>64</v>
      </c>
      <c r="B103" s="28" t="s">
        <v>65</v>
      </c>
      <c r="C103" s="15">
        <v>2</v>
      </c>
      <c r="D103" s="29" t="s">
        <v>90</v>
      </c>
      <c r="E103" s="30" t="s">
        <v>299</v>
      </c>
      <c r="F103" s="30" t="s">
        <v>234</v>
      </c>
      <c r="G103" s="30" t="s">
        <v>300</v>
      </c>
      <c r="H103" s="31" t="s">
        <v>297</v>
      </c>
      <c r="I103" s="29" t="s">
        <v>301</v>
      </c>
      <c r="J103" s="43" t="s">
        <v>355</v>
      </c>
      <c r="K103" s="32"/>
    </row>
    <row r="104" spans="1:11" ht="45.75" customHeight="1" thickBot="1">
      <c r="A104" s="12" t="s">
        <v>64</v>
      </c>
      <c r="B104" s="28" t="s">
        <v>65</v>
      </c>
      <c r="C104" s="15">
        <v>3</v>
      </c>
      <c r="D104" s="29" t="s">
        <v>90</v>
      </c>
      <c r="E104" s="40" t="s">
        <v>356</v>
      </c>
      <c r="F104" s="30" t="s">
        <v>357</v>
      </c>
      <c r="G104" s="30" t="s">
        <v>358</v>
      </c>
      <c r="H104" s="31" t="s">
        <v>297</v>
      </c>
      <c r="I104" s="29" t="s">
        <v>302</v>
      </c>
      <c r="J104" s="43" t="s">
        <v>355</v>
      </c>
      <c r="K104" s="32"/>
    </row>
    <row r="105" spans="1:11" ht="45.75" customHeight="1" thickBot="1">
      <c r="A105" s="12" t="s">
        <v>64</v>
      </c>
      <c r="B105" s="28" t="s">
        <v>65</v>
      </c>
      <c r="C105" s="15">
        <v>4</v>
      </c>
      <c r="D105" s="29" t="s">
        <v>97</v>
      </c>
      <c r="E105" s="30" t="s">
        <v>303</v>
      </c>
      <c r="F105" s="30"/>
      <c r="G105" s="30"/>
      <c r="H105" s="31" t="s">
        <v>297</v>
      </c>
      <c r="I105" s="29" t="s">
        <v>304</v>
      </c>
      <c r="J105" s="43" t="s">
        <v>355</v>
      </c>
      <c r="K105" s="32"/>
    </row>
    <row r="106" spans="1:11" ht="45.75" customHeight="1" thickBot="1">
      <c r="A106" s="12" t="s">
        <v>64</v>
      </c>
      <c r="B106" s="28" t="s">
        <v>65</v>
      </c>
      <c r="C106" s="15">
        <v>5</v>
      </c>
      <c r="D106" s="29" t="s">
        <v>97</v>
      </c>
      <c r="E106" s="30" t="s">
        <v>305</v>
      </c>
      <c r="F106" s="30"/>
      <c r="G106" s="30"/>
      <c r="H106" s="31" t="s">
        <v>297</v>
      </c>
      <c r="I106" s="29" t="s">
        <v>306</v>
      </c>
      <c r="J106" s="43" t="s">
        <v>355</v>
      </c>
      <c r="K106" s="32"/>
    </row>
    <row r="107" spans="1:11" ht="45.75" customHeight="1" thickBot="1">
      <c r="A107" s="12" t="s">
        <v>64</v>
      </c>
      <c r="B107" s="28" t="s">
        <v>65</v>
      </c>
      <c r="C107" s="15">
        <v>6</v>
      </c>
      <c r="D107" s="29" t="s">
        <v>97</v>
      </c>
      <c r="E107" s="30" t="s">
        <v>307</v>
      </c>
      <c r="F107" s="30"/>
      <c r="G107" s="30"/>
      <c r="H107" s="31" t="s">
        <v>297</v>
      </c>
      <c r="I107" s="29" t="s">
        <v>308</v>
      </c>
      <c r="J107" s="43" t="s">
        <v>355</v>
      </c>
      <c r="K107" s="32"/>
    </row>
    <row r="108" spans="1:11" ht="45.75" customHeight="1" thickBot="1">
      <c r="A108" s="12" t="s">
        <v>64</v>
      </c>
      <c r="B108" s="28" t="s">
        <v>65</v>
      </c>
      <c r="C108" s="15">
        <v>7</v>
      </c>
      <c r="D108" s="29" t="s">
        <v>97</v>
      </c>
      <c r="E108" s="30" t="s">
        <v>309</v>
      </c>
      <c r="F108" s="30"/>
      <c r="G108" s="30"/>
      <c r="H108" s="31" t="s">
        <v>297</v>
      </c>
      <c r="I108" s="29" t="s">
        <v>310</v>
      </c>
      <c r="J108" s="43" t="s">
        <v>355</v>
      </c>
      <c r="K108" s="32"/>
    </row>
    <row r="109" spans="1:11" ht="45.75" customHeight="1" thickBot="1">
      <c r="A109" s="12" t="s">
        <v>64</v>
      </c>
      <c r="B109" s="28" t="s">
        <v>65</v>
      </c>
      <c r="C109" s="15">
        <v>8</v>
      </c>
      <c r="D109" s="29" t="s">
        <v>97</v>
      </c>
      <c r="E109" s="30" t="s">
        <v>307</v>
      </c>
      <c r="F109" s="30"/>
      <c r="G109" s="30"/>
      <c r="H109" s="31" t="s">
        <v>297</v>
      </c>
      <c r="I109" s="29" t="s">
        <v>311</v>
      </c>
      <c r="J109" s="43" t="s">
        <v>355</v>
      </c>
      <c r="K109" s="32"/>
    </row>
    <row r="110" spans="1:11" ht="45.75" customHeight="1" thickBot="1">
      <c r="A110" s="12" t="s">
        <v>64</v>
      </c>
      <c r="B110" s="28" t="s">
        <v>65</v>
      </c>
      <c r="C110" s="15">
        <v>9</v>
      </c>
      <c r="D110" s="29" t="s">
        <v>97</v>
      </c>
      <c r="E110" s="30" t="s">
        <v>312</v>
      </c>
      <c r="F110" s="30"/>
      <c r="G110" s="30"/>
      <c r="H110" s="31" t="s">
        <v>297</v>
      </c>
      <c r="I110" s="29" t="s">
        <v>313</v>
      </c>
      <c r="J110" s="43" t="s">
        <v>355</v>
      </c>
      <c r="K110" s="32"/>
    </row>
    <row r="111" spans="1:11" ht="45.75" customHeight="1">
      <c r="A111" s="12" t="s">
        <v>64</v>
      </c>
      <c r="B111" s="28" t="s">
        <v>65</v>
      </c>
      <c r="C111" s="15">
        <v>10</v>
      </c>
      <c r="D111" s="29" t="s">
        <v>97</v>
      </c>
      <c r="E111" s="30" t="s">
        <v>314</v>
      </c>
      <c r="F111" s="30"/>
      <c r="G111" s="30"/>
      <c r="H111" s="31" t="s">
        <v>297</v>
      </c>
      <c r="I111" s="29" t="s">
        <v>315</v>
      </c>
      <c r="J111" s="43" t="s">
        <v>355</v>
      </c>
      <c r="K111" s="32"/>
    </row>
    <row r="112" spans="1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K111" xr:uid="{00000000-0009-0000-0000-000002000000}"/>
  <phoneticPr fontId="25" type="noConversion"/>
  <dataValidations count="2">
    <dataValidation type="list" allowBlank="1" sqref="F2:F111" xr:uid="{00000000-0002-0000-0200-000000000000}">
      <formula1>"라인(IR) 이탈/오검출,카메라 인식 실패(HSV/ArUco),Nav2 경로탐색 실패(ABORTED),AMCL/TF 불안정,장애물 오감지/미감지,통신(Wi-Fi/Serial) 문제,정렬/오차 기준 초과,타임아웃(제한시간 초과),하드웨어(모터/센서) 이상,소프트웨어 예외/버그,기타"</formula1>
      <formula2>0</formula2>
    </dataValidation>
    <dataValidation type="list" allowBlank="1" sqref="D2:D111" xr:uid="{00000000-0002-0000-0200-000001000000}">
      <formula1>"PASS,FAIL,조건부 PASS,미실시"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showGridLines="0" zoomScaleNormal="100" workbookViewId="0">
      <pane ySplit="1" topLeftCell="A2" activePane="bottomLeft" state="frozen"/>
      <selection pane="bottomLeft" activeCell="B3" sqref="B3"/>
    </sheetView>
  </sheetViews>
  <sheetFormatPr defaultColWidth="14.42578125" defaultRowHeight="15"/>
  <cols>
    <col min="1" max="1" width="9" customWidth="1"/>
    <col min="2" max="2" width="16" customWidth="1"/>
    <col min="3" max="3" width="9" customWidth="1"/>
    <col min="4" max="4" width="30" customWidth="1"/>
    <col min="5" max="5" width="60" customWidth="1"/>
    <col min="6" max="6" width="16" customWidth="1"/>
    <col min="7" max="26" width="8.7109375" customWidth="1"/>
  </cols>
  <sheetData>
    <row r="1" spans="1:6" ht="27.75" customHeight="1">
      <c r="A1" s="11" t="s">
        <v>17</v>
      </c>
      <c r="B1" s="11" t="s">
        <v>18</v>
      </c>
      <c r="C1" s="11" t="s">
        <v>20</v>
      </c>
      <c r="D1" s="11" t="s">
        <v>19</v>
      </c>
      <c r="E1" s="11" t="s">
        <v>316</v>
      </c>
      <c r="F1" s="11" t="s">
        <v>317</v>
      </c>
    </row>
    <row r="2" spans="1:6" ht="42" customHeight="1">
      <c r="A2" s="12" t="s">
        <v>25</v>
      </c>
      <c r="B2" s="28" t="s">
        <v>26</v>
      </c>
      <c r="C2" s="15">
        <v>10</v>
      </c>
      <c r="D2" s="14" t="s">
        <v>27</v>
      </c>
      <c r="E2" s="36" t="s">
        <v>91</v>
      </c>
      <c r="F2" s="15" t="s">
        <v>318</v>
      </c>
    </row>
    <row r="3" spans="1:6" ht="42" customHeight="1">
      <c r="A3" s="12" t="s">
        <v>28</v>
      </c>
      <c r="B3" s="15" t="s">
        <v>29</v>
      </c>
      <c r="C3" s="15">
        <v>10</v>
      </c>
      <c r="D3" s="14" t="s">
        <v>30</v>
      </c>
      <c r="E3" s="36" t="s">
        <v>319</v>
      </c>
      <c r="F3" s="15" t="s">
        <v>320</v>
      </c>
    </row>
    <row r="4" spans="1:6" ht="42" customHeight="1">
      <c r="A4" s="12" t="s">
        <v>31</v>
      </c>
      <c r="B4" s="28" t="s">
        <v>32</v>
      </c>
      <c r="C4" s="15">
        <v>10</v>
      </c>
      <c r="D4" s="14" t="s">
        <v>33</v>
      </c>
      <c r="E4" s="36" t="s">
        <v>321</v>
      </c>
      <c r="F4" s="15" t="s">
        <v>322</v>
      </c>
    </row>
    <row r="5" spans="1:6" ht="42" customHeight="1">
      <c r="A5" s="12" t="s">
        <v>34</v>
      </c>
      <c r="B5" s="28" t="s">
        <v>35</v>
      </c>
      <c r="C5" s="15">
        <v>5</v>
      </c>
      <c r="D5" s="14" t="s">
        <v>36</v>
      </c>
      <c r="E5" s="36" t="s">
        <v>323</v>
      </c>
      <c r="F5" s="15" t="s">
        <v>322</v>
      </c>
    </row>
    <row r="6" spans="1:6" ht="42" customHeight="1">
      <c r="A6" s="12" t="s">
        <v>37</v>
      </c>
      <c r="B6" s="28" t="s">
        <v>38</v>
      </c>
      <c r="C6" s="15">
        <v>5</v>
      </c>
      <c r="D6" s="14" t="s">
        <v>39</v>
      </c>
      <c r="E6" s="36" t="s">
        <v>162</v>
      </c>
      <c r="F6" s="15" t="s">
        <v>324</v>
      </c>
    </row>
    <row r="7" spans="1:6" ht="42" customHeight="1">
      <c r="A7" s="12" t="s">
        <v>40</v>
      </c>
      <c r="B7" s="28" t="s">
        <v>41</v>
      </c>
      <c r="C7" s="15">
        <v>5</v>
      </c>
      <c r="D7" s="14" t="s">
        <v>42</v>
      </c>
      <c r="E7" s="36" t="s">
        <v>173</v>
      </c>
      <c r="F7" s="15" t="s">
        <v>325</v>
      </c>
    </row>
    <row r="8" spans="1:6" ht="42" customHeight="1">
      <c r="A8" s="12" t="s">
        <v>43</v>
      </c>
      <c r="B8" s="28" t="s">
        <v>44</v>
      </c>
      <c r="C8" s="15">
        <v>10</v>
      </c>
      <c r="D8" s="14" t="s">
        <v>45</v>
      </c>
      <c r="E8" s="36" t="s">
        <v>183</v>
      </c>
      <c r="F8" s="15" t="s">
        <v>326</v>
      </c>
    </row>
    <row r="9" spans="1:6" ht="42" customHeight="1">
      <c r="A9" s="12" t="s">
        <v>46</v>
      </c>
      <c r="B9" s="15" t="s">
        <v>47</v>
      </c>
      <c r="C9" s="15">
        <v>10</v>
      </c>
      <c r="D9" s="14" t="s">
        <v>48</v>
      </c>
      <c r="E9" s="36" t="s">
        <v>196</v>
      </c>
      <c r="F9" s="15" t="s">
        <v>327</v>
      </c>
    </row>
    <row r="10" spans="1:6" ht="42" customHeight="1">
      <c r="A10" s="12" t="s">
        <v>49</v>
      </c>
      <c r="B10" s="28" t="s">
        <v>50</v>
      </c>
      <c r="C10" s="15">
        <v>10</v>
      </c>
      <c r="D10" s="14" t="s">
        <v>51</v>
      </c>
      <c r="E10" s="36" t="s">
        <v>215</v>
      </c>
      <c r="F10" s="15" t="s">
        <v>327</v>
      </c>
    </row>
    <row r="11" spans="1:6" ht="42" customHeight="1">
      <c r="A11" s="12" t="s">
        <v>52</v>
      </c>
      <c r="B11" s="28" t="s">
        <v>53</v>
      </c>
      <c r="C11" s="15">
        <v>10</v>
      </c>
      <c r="D11" s="14" t="s">
        <v>54</v>
      </c>
      <c r="E11" s="36" t="s">
        <v>239</v>
      </c>
      <c r="F11" s="15" t="s">
        <v>328</v>
      </c>
    </row>
    <row r="12" spans="1:6" ht="42" customHeight="1">
      <c r="A12" s="12" t="s">
        <v>55</v>
      </c>
      <c r="B12" s="15" t="s">
        <v>56</v>
      </c>
      <c r="C12" s="15">
        <v>5</v>
      </c>
      <c r="D12" s="14" t="s">
        <v>57</v>
      </c>
      <c r="E12" s="36" t="s">
        <v>261</v>
      </c>
      <c r="F12" s="15" t="s">
        <v>329</v>
      </c>
    </row>
    <row r="13" spans="1:6" ht="42" customHeight="1">
      <c r="A13" s="12" t="s">
        <v>58</v>
      </c>
      <c r="B13" s="28" t="s">
        <v>59</v>
      </c>
      <c r="C13" s="15">
        <v>5</v>
      </c>
      <c r="D13" s="14" t="s">
        <v>60</v>
      </c>
      <c r="E13" s="36" t="s">
        <v>330</v>
      </c>
      <c r="F13" s="15" t="s">
        <v>331</v>
      </c>
    </row>
    <row r="14" spans="1:6" ht="42" customHeight="1">
      <c r="A14" s="12" t="s">
        <v>61</v>
      </c>
      <c r="B14" s="37" t="s">
        <v>332</v>
      </c>
      <c r="C14" s="15">
        <v>5</v>
      </c>
      <c r="D14" s="14" t="s">
        <v>63</v>
      </c>
      <c r="E14" s="36" t="s">
        <v>333</v>
      </c>
      <c r="F14" s="15" t="s">
        <v>334</v>
      </c>
    </row>
    <row r="15" spans="1:6" ht="42" customHeight="1">
      <c r="A15" s="12" t="s">
        <v>64</v>
      </c>
      <c r="B15" s="28" t="s">
        <v>65</v>
      </c>
      <c r="C15" s="15">
        <v>10</v>
      </c>
      <c r="D15" s="14" t="s">
        <v>66</v>
      </c>
      <c r="E15" s="36" t="s">
        <v>335</v>
      </c>
      <c r="F15" s="37" t="s">
        <v>336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2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사용법</vt:lpstr>
      <vt:lpstr>요약</vt:lpstr>
      <vt:lpstr>기록</vt:lpstr>
      <vt:lpstr>시험항목 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예은 김</cp:lastModifiedBy>
  <cp:revision>0</cp:revision>
  <dcterms:created xsi:type="dcterms:W3CDTF">2026-08-24T05:27:06Z</dcterms:created>
  <dcterms:modified xsi:type="dcterms:W3CDTF">2026-08-24T05:58:58Z</dcterms:modified>
  <dc:language>en-US</dc:language>
</cp:coreProperties>
</file>