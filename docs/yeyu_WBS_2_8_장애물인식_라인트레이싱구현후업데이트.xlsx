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delab\Downloads\"/>
    </mc:Choice>
  </mc:AlternateContent>
  <xr:revisionPtr revIDLastSave="0" documentId="13_ncr:1_{DDC98EA8-F512-4D6E-A5A2-32475A1682B6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WBS_계획" sheetId="2" r:id="rId1"/>
    <sheet name="Gantt_4주" sheetId="5" r:id="rId2"/>
    <sheet name="WBS_요약" sheetId="1" r:id="rId3"/>
    <sheet name="WBS_Dictionary" sheetId="3" r:id="rId4"/>
    <sheet name="4주_일정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" i="5" l="1"/>
  <c r="E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J16" i="5"/>
  <c r="K16" i="5"/>
  <c r="L16" i="5"/>
  <c r="N16" i="5"/>
  <c r="I16" i="5"/>
  <c r="M16" i="5"/>
  <c r="H16" i="5"/>
  <c r="G16" i="5"/>
  <c r="F16" i="5"/>
  <c r="E16" i="5"/>
  <c r="D16" i="5"/>
  <c r="C16" i="5"/>
  <c r="Y6" i="5"/>
  <c r="Z6" i="5"/>
  <c r="AA6" i="5"/>
  <c r="AB6" i="5"/>
  <c r="AC6" i="5"/>
  <c r="Y7" i="5"/>
  <c r="Z7" i="5"/>
  <c r="AA7" i="5"/>
  <c r="AB7" i="5"/>
  <c r="AC7" i="5"/>
  <c r="Y8" i="5"/>
  <c r="Z8" i="5"/>
  <c r="AA8" i="5"/>
  <c r="AB8" i="5"/>
  <c r="AC8" i="5"/>
  <c r="Y9" i="5"/>
  <c r="Z9" i="5"/>
  <c r="AA9" i="5"/>
  <c r="AB9" i="5"/>
  <c r="AC9" i="5"/>
  <c r="Y10" i="5"/>
  <c r="Z10" i="5"/>
  <c r="AA10" i="5"/>
  <c r="AB10" i="5"/>
  <c r="Y11" i="5"/>
  <c r="Z11" i="5"/>
  <c r="AA11" i="5"/>
  <c r="AB11" i="5"/>
  <c r="AC11" i="5"/>
  <c r="Y12" i="5"/>
  <c r="Z12" i="5"/>
  <c r="AA12" i="5"/>
  <c r="AB12" i="5"/>
  <c r="AC12" i="5"/>
  <c r="Y13" i="5"/>
  <c r="Z13" i="5"/>
  <c r="AA13" i="5"/>
  <c r="AB13" i="5"/>
  <c r="AC13" i="5"/>
  <c r="Y14" i="5"/>
  <c r="Z14" i="5"/>
  <c r="AA14" i="5"/>
  <c r="AB14" i="5"/>
  <c r="AC14" i="5"/>
  <c r="Y15" i="5"/>
  <c r="Z15" i="5"/>
  <c r="AA15" i="5"/>
  <c r="AB15" i="5"/>
  <c r="AC15" i="5"/>
  <c r="Y17" i="5"/>
  <c r="Z17" i="5"/>
  <c r="AA17" i="5"/>
  <c r="AB17" i="5"/>
  <c r="AC17" i="5"/>
  <c r="Y18" i="5"/>
  <c r="Z18" i="5"/>
  <c r="AA18" i="5"/>
  <c r="AB18" i="5"/>
  <c r="AC18" i="5"/>
  <c r="Y19" i="5"/>
  <c r="Z19" i="5"/>
  <c r="AA19" i="5"/>
  <c r="AB19" i="5"/>
  <c r="AC19" i="5"/>
  <c r="Y20" i="5"/>
  <c r="Z20" i="5"/>
  <c r="AA20" i="5"/>
  <c r="AB20" i="5"/>
  <c r="AC20" i="5"/>
  <c r="Y21" i="5"/>
  <c r="Z21" i="5"/>
  <c r="AA21" i="5"/>
  <c r="AB21" i="5"/>
  <c r="AC21" i="5"/>
  <c r="Y22" i="5"/>
  <c r="Z22" i="5"/>
  <c r="AA22" i="5"/>
  <c r="AB22" i="5"/>
  <c r="AC22" i="5"/>
  <c r="Y24" i="5"/>
  <c r="Z24" i="5"/>
  <c r="AA24" i="5"/>
  <c r="AB24" i="5"/>
  <c r="AC24" i="5"/>
  <c r="Y25" i="5"/>
  <c r="Z25" i="5"/>
  <c r="AA25" i="5"/>
  <c r="AB25" i="5"/>
  <c r="AC25" i="5"/>
  <c r="Y26" i="5"/>
  <c r="Z26" i="5"/>
  <c r="AA26" i="5"/>
  <c r="AB26" i="5"/>
  <c r="AC26" i="5"/>
  <c r="Y27" i="5"/>
  <c r="Z27" i="5"/>
  <c r="AA27" i="5"/>
  <c r="AB27" i="5"/>
  <c r="AC27" i="5"/>
  <c r="Y28" i="5"/>
  <c r="Z28" i="5"/>
  <c r="AA28" i="5"/>
  <c r="AB28" i="5"/>
  <c r="AC28" i="5"/>
  <c r="Y31" i="5"/>
  <c r="Z31" i="5"/>
  <c r="AA31" i="5"/>
  <c r="AB31" i="5"/>
  <c r="AC31" i="5"/>
  <c r="Y32" i="5"/>
  <c r="Z32" i="5"/>
  <c r="AA32" i="5"/>
  <c r="AB32" i="5"/>
  <c r="AC32" i="5"/>
  <c r="Y34" i="5"/>
  <c r="Z34" i="5"/>
  <c r="AA34" i="5"/>
  <c r="AB34" i="5"/>
  <c r="AC34" i="5"/>
  <c r="Y42" i="5"/>
  <c r="Z42" i="5"/>
  <c r="AA42" i="5"/>
  <c r="AB42" i="5"/>
  <c r="AC42" i="5"/>
  <c r="Y43" i="5"/>
  <c r="Z43" i="5"/>
  <c r="AA43" i="5"/>
  <c r="AB43" i="5"/>
  <c r="AC43" i="5"/>
  <c r="Y36" i="5"/>
  <c r="Z36" i="5"/>
  <c r="AA36" i="5"/>
  <c r="AB36" i="5"/>
  <c r="AC36" i="5"/>
  <c r="Y35" i="5"/>
  <c r="Z35" i="5"/>
  <c r="AA35" i="5"/>
  <c r="AB35" i="5"/>
  <c r="AC35" i="5"/>
  <c r="Y33" i="5"/>
  <c r="Z33" i="5"/>
  <c r="AA33" i="5"/>
  <c r="AB33" i="5"/>
  <c r="AC33" i="5"/>
  <c r="Y23" i="5"/>
  <c r="Z23" i="5"/>
  <c r="AA23" i="5"/>
  <c r="AB23" i="5"/>
  <c r="AC23" i="5"/>
  <c r="Y29" i="5"/>
  <c r="Z29" i="5"/>
  <c r="AA29" i="5"/>
  <c r="AB29" i="5"/>
  <c r="AC29" i="5"/>
  <c r="Y30" i="5"/>
  <c r="Z30" i="5"/>
  <c r="AA30" i="5"/>
  <c r="AB30" i="5"/>
  <c r="AC30" i="5"/>
  <c r="Y44" i="5"/>
  <c r="Z44" i="5"/>
  <c r="AA44" i="5"/>
  <c r="AB44" i="5"/>
  <c r="AC44" i="5"/>
  <c r="Y45" i="5"/>
  <c r="Z45" i="5"/>
  <c r="AA45" i="5"/>
  <c r="AB45" i="5"/>
  <c r="AC45" i="5"/>
  <c r="Y38" i="5"/>
  <c r="Z38" i="5"/>
  <c r="AA38" i="5"/>
  <c r="AB38" i="5"/>
  <c r="AC38" i="5"/>
  <c r="Y37" i="5"/>
  <c r="Z37" i="5"/>
  <c r="AA37" i="5"/>
  <c r="AB37" i="5"/>
  <c r="AC37" i="5"/>
  <c r="Y39" i="5"/>
  <c r="Z39" i="5"/>
  <c r="AA39" i="5"/>
  <c r="AB39" i="5"/>
  <c r="AC39" i="5"/>
  <c r="Y40" i="5"/>
  <c r="Z40" i="5"/>
  <c r="AA40" i="5"/>
  <c r="AB40" i="5"/>
  <c r="AC40" i="5"/>
  <c r="Y41" i="5"/>
  <c r="Z41" i="5"/>
  <c r="AA41" i="5"/>
  <c r="AB41" i="5"/>
  <c r="AC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C24" i="5"/>
  <c r="D24" i="5"/>
  <c r="C31" i="1"/>
  <c r="B31" i="1"/>
  <c r="D31" i="1" s="1"/>
  <c r="P31" i="1" s="1"/>
  <c r="C30" i="1"/>
  <c r="B30" i="1"/>
  <c r="D30" i="1" s="1"/>
  <c r="P30" i="1" s="1"/>
  <c r="C29" i="1"/>
  <c r="B29" i="1"/>
  <c r="D29" i="1" s="1"/>
  <c r="P29" i="1" s="1"/>
  <c r="C28" i="1"/>
  <c r="B28" i="1"/>
  <c r="D28" i="1" s="1"/>
  <c r="P28" i="1" s="1"/>
  <c r="C27" i="1"/>
  <c r="B27" i="1"/>
  <c r="D27" i="1" s="1"/>
  <c r="P27" i="1" s="1"/>
  <c r="C26" i="1"/>
  <c r="B26" i="1"/>
  <c r="D26" i="1" s="1"/>
  <c r="P26" i="1" s="1"/>
  <c r="C25" i="1"/>
  <c r="B25" i="1"/>
  <c r="D25" i="1" s="1"/>
  <c r="P25" i="1" s="1"/>
  <c r="C24" i="1"/>
  <c r="B24" i="1"/>
  <c r="D24" i="1" s="1"/>
  <c r="P24" i="1" s="1"/>
  <c r="K18" i="1"/>
  <c r="G18" i="1"/>
  <c r="C18" i="1"/>
  <c r="K14" i="1"/>
  <c r="G14" i="1"/>
  <c r="C14" i="1"/>
  <c r="C10" i="5"/>
  <c r="D10" i="5"/>
  <c r="C7" i="5"/>
  <c r="D7" i="5"/>
  <c r="C26" i="5"/>
  <c r="D26" i="5"/>
  <c r="C34" i="5"/>
  <c r="D34" i="5"/>
  <c r="C9" i="5"/>
  <c r="D9" i="5"/>
  <c r="C8" i="5"/>
  <c r="D8" i="5"/>
  <c r="C12" i="5"/>
  <c r="D12" i="5"/>
  <c r="C22" i="5"/>
  <c r="D22" i="5"/>
  <c r="C42" i="5"/>
  <c r="D42" i="5"/>
  <c r="C32" i="5"/>
  <c r="D32" i="5"/>
  <c r="C31" i="5"/>
  <c r="D31" i="5"/>
  <c r="C13" i="5"/>
  <c r="D13" i="5"/>
  <c r="C14" i="5"/>
  <c r="D14" i="5"/>
  <c r="C20" i="5"/>
  <c r="D20" i="5"/>
  <c r="C43" i="5"/>
  <c r="D43" i="5"/>
  <c r="C36" i="5"/>
  <c r="D36" i="5"/>
  <c r="C27" i="5"/>
  <c r="D27" i="5"/>
  <c r="C28" i="5"/>
  <c r="D28" i="5"/>
  <c r="C35" i="5"/>
  <c r="D35" i="5"/>
  <c r="C11" i="5"/>
  <c r="D11" i="5"/>
  <c r="C25" i="5"/>
  <c r="D25" i="5"/>
  <c r="C15" i="5"/>
  <c r="D15" i="5"/>
  <c r="C18" i="5"/>
  <c r="D18" i="5"/>
  <c r="C19" i="5"/>
  <c r="D19" i="5"/>
  <c r="C33" i="5"/>
  <c r="D33" i="5"/>
  <c r="C23" i="5"/>
  <c r="D23" i="5"/>
  <c r="C29" i="5"/>
  <c r="D29" i="5"/>
  <c r="C30" i="5"/>
  <c r="D30" i="5"/>
  <c r="C17" i="5"/>
  <c r="D17" i="5"/>
  <c r="C21" i="5"/>
  <c r="D21" i="5"/>
  <c r="C44" i="5"/>
  <c r="D44" i="5"/>
  <c r="C45" i="5"/>
  <c r="D45" i="5"/>
  <c r="C38" i="5"/>
  <c r="D38" i="5"/>
  <c r="C37" i="5"/>
  <c r="D37" i="5"/>
  <c r="C39" i="5"/>
  <c r="D39" i="5"/>
  <c r="C40" i="5"/>
  <c r="D40" i="5"/>
  <c r="C41" i="5"/>
  <c r="D41" i="5"/>
  <c r="D6" i="5"/>
  <c r="C6" i="5"/>
</calcChain>
</file>

<file path=xl/sharedStrings.xml><?xml version="1.0" encoding="utf-8"?>
<sst xmlns="http://schemas.openxmlformats.org/spreadsheetml/2006/main" count="1125" uniqueCount="611">
  <si>
    <t>TurtleBot3 ROS 2 WBS 대시보드</t>
  </si>
  <si>
    <t>휴머노이드시스템 | 사무실 안내·보안 로봇 프로젝트 샘플</t>
  </si>
  <si>
    <t>프로젝트 기본 정보</t>
  </si>
  <si>
    <t>프로젝트명</t>
  </si>
  <si>
    <t>TurtleBot3 ROS 2 사무실 안내·보안 로봇</t>
  </si>
  <si>
    <t>프로젝트 기간</t>
  </si>
  <si>
    <t>~</t>
  </si>
  <si>
    <t>기준일</t>
  </si>
  <si>
    <t>로봇 플랫폼</t>
  </si>
  <si>
    <t>TurtleBot3 Burger</t>
  </si>
  <si>
    <t>ROS 2</t>
  </si>
  <si>
    <t>Humble</t>
  </si>
  <si>
    <t>핵심 범위</t>
  </si>
  <si>
    <t>안내·순찰·정밀 파킹·안전 대응</t>
  </si>
  <si>
    <t>관리 기준</t>
  </si>
  <si>
    <t>산출물 중심 WBS</t>
  </si>
  <si>
    <t>총 4주</t>
  </si>
  <si>
    <t>20 근무일</t>
  </si>
  <si>
    <t>핵심 지표</t>
  </si>
  <si>
    <t>총 작업 패키지</t>
  </si>
  <si>
    <t>완료</t>
  </si>
  <si>
    <t>진행중</t>
  </si>
  <si>
    <t>미착수</t>
  </si>
  <si>
    <t>전체 진척률</t>
  </si>
  <si>
    <t>남은 기간</t>
  </si>
  <si>
    <t>대분류별 작업 현황</t>
  </si>
  <si>
    <t>대분류</t>
  </si>
  <si>
    <t>작업 수</t>
  </si>
  <si>
    <t>완료 수</t>
  </si>
  <si>
    <t>평균 진척률</t>
  </si>
  <si>
    <t>차트용 진척률(%)</t>
  </si>
  <si>
    <t>프로젝트 관리</t>
  </si>
  <si>
    <t>로봇 시스템</t>
  </si>
  <si>
    <t>지도·자율주행</t>
  </si>
  <si>
    <t>센서·비전</t>
  </si>
  <si>
    <t>서비스 기능</t>
  </si>
  <si>
    <t>시스템 통합</t>
  </si>
  <si>
    <t>시험·검증</t>
  </si>
  <si>
    <t>문서·발표</t>
  </si>
  <si>
    <t>WBS ID</t>
  </si>
  <si>
    <t>중분류</t>
  </si>
  <si>
    <t>작업 패키지</t>
  </si>
  <si>
    <t>주요 산출물</t>
  </si>
  <si>
    <t>담당자</t>
  </si>
  <si>
    <t>시작일</t>
  </si>
  <si>
    <t>종료일</t>
  </si>
  <si>
    <t>기간(일)</t>
  </si>
  <si>
    <t>선행 작업</t>
  </si>
  <si>
    <t>우선순위</t>
  </si>
  <si>
    <t>상태</t>
  </si>
  <si>
    <t>진척률</t>
  </si>
  <si>
    <t>완료 기준</t>
  </si>
  <si>
    <t>비고</t>
  </si>
  <si>
    <t>PM/요구사항</t>
  </si>
  <si>
    <t>높음</t>
  </si>
  <si>
    <t>1.3</t>
  </si>
  <si>
    <t>요구사항</t>
  </si>
  <si>
    <t>협업</t>
  </si>
  <si>
    <t>중간</t>
  </si>
  <si>
    <t>관리</t>
  </si>
  <si>
    <t>개발환경</t>
  </si>
  <si>
    <t>colcon 작업공간</t>
  </si>
  <si>
    <t>시스템/시험</t>
  </si>
  <si>
    <t>Bringup</t>
  </si>
  <si>
    <t>TurtleBot3 Bringup 검증</t>
  </si>
  <si>
    <t>Bringup 실행 로그</t>
  </si>
  <si>
    <t>Navigation/제어</t>
  </si>
  <si>
    <t>모터·odom·scan 토픽 정상</t>
  </si>
  <si>
    <t>하드웨어</t>
  </si>
  <si>
    <t>2.7</t>
  </si>
  <si>
    <t>보정</t>
  </si>
  <si>
    <t>오도메트리 직진·회전 보정</t>
  </si>
  <si>
    <t>보정 파라미터/CSV</t>
  </si>
  <si>
    <t>로그</t>
  </si>
  <si>
    <t>3.2</t>
  </si>
  <si>
    <t>SLAM</t>
  </si>
  <si>
    <t>original_map.pgm/yaml</t>
  </si>
  <si>
    <t>3.5</t>
  </si>
  <si>
    <t>nav2_params.yaml</t>
  </si>
  <si>
    <t>단일 목표점 이동 5회 성공</t>
  </si>
  <si>
    <t>경유점</t>
  </si>
  <si>
    <t>회피 시험 결과</t>
  </si>
  <si>
    <t>정적 장애물 10회 회피</t>
  </si>
  <si>
    <t>복구</t>
  </si>
  <si>
    <t>복구 동작 설정</t>
  </si>
  <si>
    <t>카메라</t>
  </si>
  <si>
    <t>4.4</t>
  </si>
  <si>
    <t>aruco_detector 노드</t>
  </si>
  <si>
    <t>서비스/GUI</t>
  </si>
  <si>
    <t>4.7</t>
  </si>
  <si>
    <t>GUI</t>
  </si>
  <si>
    <t>운영 GUI</t>
  </si>
  <si>
    <t>5.1</t>
  </si>
  <si>
    <t>mission_manager 노드</t>
  </si>
  <si>
    <t>낮음</t>
  </si>
  <si>
    <t>5.6</t>
  </si>
  <si>
    <t>6.2</t>
  </si>
  <si>
    <t>도킹 컨트롤러</t>
  </si>
  <si>
    <t>6.4</t>
  </si>
  <si>
    <t>7.5</t>
  </si>
  <si>
    <t>안내 시험 결과</t>
  </si>
  <si>
    <t>최종 인수 시험</t>
  </si>
  <si>
    <t>인수 체크리스트</t>
  </si>
  <si>
    <t>GUI 설계서</t>
  </si>
  <si>
    <t>시험 결과서</t>
  </si>
  <si>
    <t>8.5</t>
  </si>
  <si>
    <t>README·설치·실행 매뉴얼</t>
  </si>
  <si>
    <t>시연 영상</t>
  </si>
  <si>
    <t>발표 자료</t>
  </si>
  <si>
    <t>WBS Dictionary — 핵심 작업 패키지 정의</t>
  </si>
  <si>
    <t>목적</t>
  </si>
  <si>
    <t>주요 입력</t>
  </si>
  <si>
    <t>핵심 활동</t>
  </si>
  <si>
    <t>산출물</t>
  </si>
  <si>
    <t>검증 방법</t>
  </si>
  <si>
    <t>사용자·시스템 요구사항</t>
  </si>
  <si>
    <t>서비스 시나리오를 검증 가능한 요구사항으로 변환</t>
  </si>
  <si>
    <t>서비스 시나리오, 프로젝트 목표</t>
  </si>
  <si>
    <t>요구사항 ID 부여, 기능/비기능 분류, 검증 방법 연결</t>
  </si>
  <si>
    <t>요구사항 명세서, 추적표</t>
  </si>
  <si>
    <t>모든 요구사항에 ID·검증 방법·관련 WBS 등록</t>
  </si>
  <si>
    <t>팀 검토 및 기준선 승인</t>
  </si>
  <si>
    <t>오도메트리 보정</t>
  </si>
  <si>
    <t>직진·회전 누적 오차를 줄여 자율주행 기반 확보</t>
  </si>
  <si>
    <t>wheel radius, wheel separation, 측정 환경</t>
  </si>
  <si>
    <t>1m 직진 10회, 90°/180° 회전 10회, 파라미터 보정</t>
  </si>
  <si>
    <t>측정 CSV, 보정 파라미터</t>
  </si>
  <si>
    <t>보정 전후 오차 통계와 최종값 기록</t>
  </si>
  <si>
    <t>실측 거리·각도 비교</t>
  </si>
  <si>
    <t>SLAM 원본 지도</t>
  </si>
  <si>
    <t>사무실 공간의 기준 지도 생성</t>
  </si>
  <si>
    <t>LiDAR, odom, SLAM 설정</t>
  </si>
  <si>
    <t>전체 공간 주행, 루프 클로저 확인, 지도 저장</t>
  </si>
  <si>
    <t>벽·통로 형상 재현, 누락 구역 없음</t>
  </si>
  <si>
    <t>RViz 검토 및 재주행</t>
  </si>
  <si>
    <t>Navigation2 설정</t>
  </si>
  <si>
    <t>안정적인 목표점 이동과 장애물 회피 확보</t>
  </si>
  <si>
    <t>서비스 지도, odom, 센서 TF</t>
  </si>
  <si>
    <t>Planner/Controller/Costmap/BT 파라미터 튜닝</t>
  </si>
  <si>
    <t>단일 목표점 5회 이상 성공</t>
  </si>
  <si>
    <t>목표 도착·경로·복구 로그</t>
  </si>
  <si>
    <t>ArUco 검출</t>
  </si>
  <si>
    <t>도킹 마커 ID와 영상 좌표 검출</t>
  </si>
  <si>
    <t>보정된 카메라 영상, marker dictionary</t>
  </si>
  <si>
    <t>검출·필터링·중심 오차 계산</t>
  </si>
  <si>
    <t>조명 조건별 20회 인식 결과 기록</t>
  </si>
  <si>
    <t>인식률·실패 원인 분석</t>
  </si>
  <si>
    <t>PyQt 운영 GUI</t>
  </si>
  <si>
    <t>로봇 상태와 임무를 운영자가 통제</t>
  </si>
  <si>
    <t>Mission 상태, 센서·알람 토픽</t>
  </si>
  <si>
    <t>임무 시작/취소, 상태 표시, 로그·알람 화면 구현</t>
  </si>
  <si>
    <t>주요 상태와 알람이 실시간 표시</t>
  </si>
  <si>
    <t>시나리오 기반 GUI 시험</t>
  </si>
  <si>
    <t>Mission Manager</t>
  </si>
  <si>
    <t>서비스 전체 상태와 오류 흐름 관리</t>
  </si>
  <si>
    <t>GUI 명령, Nav2 Action, 센서 이벤트</t>
  </si>
  <si>
    <t>IDLE/GUIDE/PATROL/RETURN/DOCKING/ERROR 상태 전환</t>
  </si>
  <si>
    <t>시작·취소·오류·복귀 전환 완성</t>
  </si>
  <si>
    <t>상태 전이 시험</t>
  </si>
  <si>
    <t>이상 감지·증거 저장</t>
  </si>
  <si>
    <t>순찰 중 이상 상황의 재현 가능한 기록 확보</t>
  </si>
  <si>
    <t>센서값, 카메라, 로봇 위치</t>
  </si>
  <si>
    <t>필터·지속시간 판단, 사진 캡처, JSON/CSV 기록</t>
  </si>
  <si>
    <t>이벤트 JSON, 사진, 로그</t>
  </si>
  <si>
    <t>시간·위치·종류·센서값·파일 경로 저장</t>
  </si>
  <si>
    <t>정상/이상 입력 시험</t>
  </si>
  <si>
    <t>ArUco 정밀 파킹</t>
  </si>
  <si>
    <t>Nav2 이후 최종 위치·각도를 정밀 보정</t>
  </si>
  <si>
    <t>ArUco pose, cmd_vel, 안전 거리</t>
  </si>
  <si>
    <t>탐색, 정렬, 저속 접근, 재시도·후퇴</t>
  </si>
  <si>
    <t>10회 성공률과 최종 오차 기록</t>
  </si>
  <si>
    <t>도킹 반복 시험</t>
  </si>
  <si>
    <t>Wi-Fi 단절 대응</t>
  </si>
  <si>
    <t>원격 통신 상실 시 위험 동작 방지</t>
  </si>
  <si>
    <t>네트워크 상태, Mission 상태</t>
  </si>
  <si>
    <t>단절 감지, 정지/복귀 정책, 로컬 임무 유지</t>
  </si>
  <si>
    <t>통신 단절 정책과 노드</t>
  </si>
  <si>
    <t>단절 5회 모두 정의된 안전 동작</t>
  </si>
  <si>
    <t>Wi-Fi 강제 해제 시험</t>
  </si>
  <si>
    <t>주간 안내 10회 시험</t>
  </si>
  <si>
    <t>안내 서비스의 반복 재현성 검증</t>
  </si>
  <si>
    <t>통합 시스템, 안내 경로</t>
  </si>
  <si>
    <t>호출·목적지 이동·도착 안내·복귀 반복</t>
  </si>
  <si>
    <t>10회 성공률과 실패 원인 기록</t>
  </si>
  <si>
    <t>체크리스트·로그·영상</t>
  </si>
  <si>
    <t>다른 PC에서 시스템을 재현할 수 있게 함</t>
  </si>
  <si>
    <t>최종 코드, 패키지 의존성, 설정 파일</t>
  </si>
  <si>
    <t>설치·빌드·실행·문제 해결 절차 작성</t>
  </si>
  <si>
    <t>README, 설치/실행 매뉴얼</t>
  </si>
  <si>
    <t>신규 환경에서 문서만으로 실행 성공</t>
  </si>
  <si>
    <t>클린 환경 재현 시험</t>
  </si>
  <si>
    <t>TurtleBot3 ROS 2 프로젝트 4주 실행 일정</t>
  </si>
  <si>
    <t>주차</t>
  </si>
  <si>
    <t>기간</t>
  </si>
  <si>
    <t>주간 목표</t>
  </si>
  <si>
    <t>핵심 작업</t>
  </si>
  <si>
    <t>마일스톤</t>
  </si>
  <si>
    <t>종료 조건</t>
  </si>
  <si>
    <t>주 책임</t>
  </si>
  <si>
    <t>1주차</t>
  </si>
  <si>
    <t>2026-07-20 ~ 2026-07-24</t>
  </si>
  <si>
    <t>범위 확정과 기본 시스템 구동</t>
  </si>
  <si>
    <t>프로젝트 헌장·요구사항·GitHub·ROS 2 작업공간·Bringup·센서 연결·오도메트리 1차 측정</t>
  </si>
  <si>
    <t>요구사항 명세, Bringup 로그, 센서 연결표</t>
  </si>
  <si>
    <t>범위 기준선 승인</t>
  </si>
  <si>
    <t>TurtleBot3 기본 토픽과 센서 데이터가 정상 출력</t>
  </si>
  <si>
    <t>2주차</t>
  </si>
  <si>
    <t>2026-07-27 ~ 2026-07-31</t>
  </si>
  <si>
    <t>핵심 기술 개별 검증</t>
  </si>
  <si>
    <t>SLAM 지도·AMCL·Navigation2·외부 센서 3종·카메라 보정·ArUco 검출·경유점 작성</t>
  </si>
  <si>
    <t>지도 파일, nav2 설정, 센서/비전 노드</t>
  </si>
  <si>
    <t>핵심 기술 검증 완료</t>
  </si>
  <si>
    <t>지도 기반 단일 목표 이동과 ArUco 인식 성공</t>
  </si>
  <si>
    <t>3주차</t>
  </si>
  <si>
    <t>2026-08-03 ~ 2026-08-07</t>
  </si>
  <si>
    <t>서비스 통합</t>
  </si>
  <si>
    <t>Mission Manager·안내·순찰·GUI·상태 표시·ArUco 파킹·전체 Launch·통신 단절 대응</t>
  </si>
  <si>
    <t>통합 Launch, 안내/순찰 시나리오, GUI</t>
  </si>
  <si>
    <t>전체 흐름 1회 성공</t>
  </si>
  <si>
    <t>전원 인가부터 임무 종료·복귀까지 동작</t>
  </si>
  <si>
    <t>4주차</t>
  </si>
  <si>
    <t>2026-08-10 ~ 2026-08-14</t>
  </si>
  <si>
    <t>시험·안정화·문서화</t>
  </si>
  <si>
    <t>주행 성능·시나리오 10회·통신/노드 장애·전원 재인가·시험 결과서·README·영상·발표</t>
  </si>
  <si>
    <t>시험 결과서, 매뉴얼, 시연 영상, Release</t>
  </si>
  <si>
    <t>필수 요구사항 통과와 재현 가능한 배포본 완성</t>
  </si>
  <si>
    <t>TurtleBot3 ROS 2 WBS — 4주 간트 차트</t>
  </si>
  <si>
    <t>TurtleBot3 ROS2 면허시험 코스 주행 로봇(팀 yeyu) WBS</t>
    <phoneticPr fontId="13" type="noConversion"/>
  </si>
  <si>
    <r>
      <rPr>
        <b/>
        <sz val="11"/>
        <color rgb="FF3A3A3A"/>
        <rFont val="맑은 고딕"/>
        <family val="3"/>
        <charset val="129"/>
      </rPr>
      <t>프로젝트</t>
    </r>
    <r>
      <rPr>
        <b/>
        <sz val="11"/>
        <color rgb="FF3A3A3A"/>
        <rFont val="Arial"/>
        <family val="2"/>
      </rPr>
      <t xml:space="preserve"> </t>
    </r>
    <r>
      <rPr>
        <b/>
        <sz val="11"/>
        <color rgb="FF3A3A3A"/>
        <rFont val="맑은 고딕"/>
        <family val="3"/>
        <charset val="129"/>
      </rPr>
      <t>범위</t>
    </r>
    <r>
      <rPr>
        <b/>
        <sz val="11"/>
        <color rgb="FF3A3A3A"/>
        <rFont val="Arial"/>
        <family val="2"/>
      </rPr>
      <t xml:space="preserve">: TurtleBot3 Burger </t>
    </r>
    <r>
      <rPr>
        <b/>
        <sz val="11"/>
        <color rgb="FF3A3A3A"/>
        <rFont val="맑은 고딕"/>
        <family val="3"/>
        <charset val="129"/>
      </rPr>
      <t>기반</t>
    </r>
    <r>
      <rPr>
        <b/>
        <sz val="11"/>
        <color rgb="FF3A3A3A"/>
        <rFont val="Arial"/>
        <family val="2"/>
      </rPr>
      <t xml:space="preserve"> </t>
    </r>
    <r>
      <rPr>
        <b/>
        <sz val="11"/>
        <color rgb="FF3A3A3A"/>
        <rFont val="맑은 고딕"/>
        <family val="3"/>
        <charset val="129"/>
      </rPr>
      <t>안내</t>
    </r>
    <r>
      <rPr>
        <b/>
        <sz val="11"/>
        <color rgb="FF3A3A3A"/>
        <rFont val="Carlito"/>
        <family val="2"/>
        <charset val="129"/>
      </rPr>
      <t>·</t>
    </r>
    <r>
      <rPr>
        <b/>
        <sz val="11"/>
        <color rgb="FF3A3A3A"/>
        <rFont val="맑은 고딕"/>
        <family val="3"/>
        <charset val="129"/>
      </rPr>
      <t>순찰</t>
    </r>
    <r>
      <rPr>
        <b/>
        <sz val="11"/>
        <color rgb="FF3A3A3A"/>
        <rFont val="Carlito"/>
        <family val="2"/>
        <charset val="129"/>
      </rPr>
      <t>·</t>
    </r>
    <r>
      <rPr>
        <b/>
        <sz val="11"/>
        <color rgb="FF3A3A3A"/>
        <rFont val="맑은 고딕"/>
        <family val="3"/>
        <charset val="129"/>
      </rPr>
      <t>정밀</t>
    </r>
    <r>
      <rPr>
        <b/>
        <sz val="11"/>
        <color rgb="FF3A3A3A"/>
        <rFont val="Arial"/>
        <family val="2"/>
      </rPr>
      <t xml:space="preserve"> </t>
    </r>
    <r>
      <rPr>
        <b/>
        <sz val="11"/>
        <color rgb="FF3A3A3A"/>
        <rFont val="맑은 고딕"/>
        <family val="3"/>
        <charset val="129"/>
      </rPr>
      <t>파킹</t>
    </r>
    <r>
      <rPr>
        <b/>
        <sz val="11"/>
        <color rgb="FF3A3A3A"/>
        <rFont val="Carlito"/>
        <family val="2"/>
        <charset val="129"/>
      </rPr>
      <t>·</t>
    </r>
    <r>
      <rPr>
        <b/>
        <sz val="11"/>
        <color rgb="FF3A3A3A"/>
        <rFont val="맑은 고딕"/>
        <family val="3"/>
        <charset val="129"/>
      </rPr>
      <t>안전</t>
    </r>
    <r>
      <rPr>
        <b/>
        <sz val="11"/>
        <color rgb="FF3A3A3A"/>
        <rFont val="Arial"/>
        <family val="2"/>
      </rPr>
      <t xml:space="preserve"> </t>
    </r>
    <r>
      <rPr>
        <b/>
        <sz val="11"/>
        <color rgb="FF3A3A3A"/>
        <rFont val="맑은 고딕"/>
        <family val="3"/>
        <charset val="129"/>
      </rPr>
      <t>대응</t>
    </r>
    <r>
      <rPr>
        <b/>
        <sz val="11"/>
        <color rgb="FF3A3A3A"/>
        <rFont val="Arial"/>
        <family val="2"/>
      </rPr>
      <t xml:space="preserve"> </t>
    </r>
    <r>
      <rPr>
        <b/>
        <sz val="11"/>
        <color rgb="FF3A3A3A"/>
        <rFont val="맑은 고딕"/>
        <family val="3"/>
        <charset val="129"/>
      </rPr>
      <t>서비스</t>
    </r>
    <r>
      <rPr>
        <b/>
        <sz val="11"/>
        <color rgb="FF3A3A3A"/>
        <rFont val="Arial"/>
        <family val="2"/>
      </rPr>
      <t xml:space="preserve"> | </t>
    </r>
    <r>
      <rPr>
        <b/>
        <sz val="11"/>
        <color rgb="FF3A3A3A"/>
        <rFont val="맑은 고딕"/>
        <family val="3"/>
        <charset val="129"/>
      </rPr>
      <t>기간</t>
    </r>
    <r>
      <rPr>
        <b/>
        <sz val="11"/>
        <color rgb="FF3A3A3A"/>
        <rFont val="Arial"/>
        <family val="2"/>
      </rPr>
      <t>: 2026-07-20 ~ 2026-08-14</t>
    </r>
    <phoneticPr fontId="13" type="noConversion"/>
  </si>
  <si>
    <t>A.1</t>
  </si>
  <si>
    <t>공동</t>
  </si>
  <si>
    <t>A.2</t>
  </si>
  <si>
    <t>강유나</t>
  </si>
  <si>
    <t>A.3</t>
  </si>
  <si>
    <t>세션마다 로그 누락 없이 기록</t>
  </si>
  <si>
    <t>A.4</t>
  </si>
  <si>
    <t>일정</t>
  </si>
  <si>
    <t>마일스톤 문서</t>
  </si>
  <si>
    <t>주차별 마일스톤 문서화</t>
  </si>
  <si>
    <t>A.5</t>
  </si>
  <si>
    <t>위험</t>
  </si>
  <si>
    <t>위험 관리 대장</t>
  </si>
  <si>
    <t>A.6</t>
  </si>
  <si>
    <t>변경</t>
  </si>
  <si>
    <t>변경 관리 대장</t>
  </si>
  <si>
    <t>B.1</t>
  </si>
  <si>
    <t>B.2</t>
  </si>
  <si>
    <t>김예은</t>
  </si>
  <si>
    <t>B.3</t>
  </si>
  <si>
    <t>B.4</t>
  </si>
  <si>
    <t>B.5</t>
  </si>
  <si>
    <t>로그 디렉터리 규칙 문서</t>
  </si>
  <si>
    <t>확인 필요</t>
  </si>
  <si>
    <t>임무별 로그 자동 생성 규칙 문서화</t>
  </si>
  <si>
    <t>C.1</t>
  </si>
  <si>
    <t>map.pgm/yaml</t>
  </si>
  <si>
    <t>C.2</t>
  </si>
  <si>
    <t>C.3</t>
  </si>
  <si>
    <t>C.4</t>
  </si>
  <si>
    <t>C.5</t>
  </si>
  <si>
    <t>C.6</t>
  </si>
  <si>
    <t>장애물 회피 파라미터 설정</t>
  </si>
  <si>
    <t>C.7</t>
  </si>
  <si>
    <t>C.8</t>
  </si>
  <si>
    <t>D.1</t>
  </si>
  <si>
    <t>D.2</t>
  </si>
  <si>
    <t>D.3</t>
  </si>
  <si>
    <t>D.4</t>
  </si>
  <si>
    <t>D.5</t>
  </si>
  <si>
    <t>D.6</t>
  </si>
  <si>
    <t>D.7</t>
  </si>
  <si>
    <t>E.1</t>
  </si>
  <si>
    <t>E.2</t>
  </si>
  <si>
    <t>E.3</t>
  </si>
  <si>
    <t>튜닝</t>
  </si>
  <si>
    <t>E.4</t>
  </si>
  <si>
    <t>E.5</t>
  </si>
  <si>
    <t>F.1</t>
  </si>
  <si>
    <t>F.2</t>
  </si>
  <si>
    <t>F.3</t>
  </si>
  <si>
    <t>G.1</t>
  </si>
  <si>
    <t>신호등</t>
  </si>
  <si>
    <t>G.2</t>
  </si>
  <si>
    <t>가속구간</t>
  </si>
  <si>
    <t>G.3</t>
  </si>
  <si>
    <t>G.4</t>
  </si>
  <si>
    <t>G.5</t>
  </si>
  <si>
    <t>H.1</t>
  </si>
  <si>
    <t>H.2</t>
  </si>
  <si>
    <t>H.3</t>
  </si>
  <si>
    <t>H.4</t>
  </si>
  <si>
    <t>정밀도</t>
  </si>
  <si>
    <t>장애물 회피 시험</t>
  </si>
  <si>
    <t>사용자 요구사항 문서</t>
  </si>
  <si>
    <t>요구사항 문서</t>
  </si>
  <si>
    <t>시스템 구성도</t>
  </si>
  <si>
    <t>구성도</t>
  </si>
  <si>
    <t>인터페이스 명세서</t>
  </si>
  <si>
    <t>README</t>
  </si>
  <si>
    <t>설치 매뉴얼</t>
  </si>
  <si>
    <t>회고</t>
  </si>
  <si>
    <t>프로젝트 회고</t>
  </si>
  <si>
    <t>회고 문서</t>
  </si>
  <si>
    <t>GitHub 전략 구성(세그먼트 기반 브랜치 정책)</t>
  </si>
  <si>
    <t>협업 환경/브랜치 규칙</t>
  </si>
  <si>
    <t>브랜치 규칙 확정, 팀원 공유 완료</t>
  </si>
  <si>
    <t>Notion 일자별 진행사항 로깅 체계</t>
  </si>
  <si>
    <t>Notion 로그 DB</t>
  </si>
  <si>
    <t>위험 관리 대장 작성·운영</t>
  </si>
  <si>
    <t>위험 항목 등록, 주 1회 이상 갱신</t>
  </si>
  <si>
    <t>변경 관리 대장 작성·운영</t>
  </si>
  <si>
    <t>요구사항/코드 변경 시 영향도 기록</t>
  </si>
  <si>
    <t>ROS2 작업공간·yeyu_* 패키지 구성</t>
  </si>
  <si>
    <t>colcon build 정상</t>
  </si>
  <si>
    <t>아두이노 시리얼 브리지(IR 3소자+LED)</t>
  </si>
  <si>
    <t>ir_l/c/r_state, rgb_cmd 정상 송수신</t>
  </si>
  <si>
    <t>파라미터 수정, 수정 전후 비교</t>
  </si>
  <si>
    <t>실측 CSV 존재(precision_test_results)</t>
  </si>
  <si>
    <t>로그 저장 구조 구성(rosbag·CSV 규칙)</t>
  </si>
  <si>
    <t>Nav2 파라미터 설정·튜닝</t>
  </si>
  <si>
    <t>신규 wp 좌표·yaw 검증</t>
  </si>
  <si>
    <t>복구 동작(Recovery) 설정</t>
  </si>
  <si>
    <t>막힘·목표 실패 시 복구 동작 수행</t>
  </si>
  <si>
    <t>최종 Release 생성</t>
  </si>
  <si>
    <t>Release 태그</t>
  </si>
  <si>
    <t>Launch</t>
  </si>
  <si>
    <t>자동실행</t>
  </si>
  <si>
    <t>최종 파라미터 통합</t>
  </si>
  <si>
    <t>요구사항 명세서</t>
  </si>
  <si>
    <t>각 구간 요구사항 ID·검증방법 등록</t>
  </si>
  <si>
    <t>SLAM 지도 생성 및 GIMP 수정</t>
  </si>
  <si>
    <t>Navigation2 설정 및 AMCL Localization 검증</t>
  </si>
  <si>
    <t>경유점 작성</t>
  </si>
  <si>
    <t>Nav2 구현</t>
  </si>
  <si>
    <t>(크랭크) IR+카메라 융합 조향 로직</t>
  </si>
  <si>
    <t>(S자) 시각 제어 알고리즘</t>
  </si>
  <si>
    <t>C.9</t>
  </si>
  <si>
    <t>(신호등) SIGNAL_WAIT 판정</t>
  </si>
  <si>
    <t>C.10</t>
  </si>
  <si>
    <t>(가속구간) ACCEL_ZONE 판정 및 속도 제어</t>
  </si>
  <si>
    <t>C.11</t>
  </si>
  <si>
    <t>(아루코 주차) 주차 상태머신 및 판정</t>
  </si>
  <si>
    <t>C.12</t>
  </si>
  <si>
    <t>C.13</t>
  </si>
  <si>
    <t>센서 브리지 노드</t>
  </si>
  <si>
    <t>IR 트랙킹 모듈 연동</t>
  </si>
  <si>
    <t>초음파 센서 연동</t>
  </si>
  <si>
    <t>카메라 기본 구동</t>
  </si>
  <si>
    <t>카메라 보정</t>
  </si>
  <si>
    <t>HSV 색상 기반 신호/표지판 인식</t>
  </si>
  <si>
    <t>D.8</t>
  </si>
  <si>
    <t>D.9</t>
  </si>
  <si>
    <t>마커 자세 추정</t>
  </si>
  <si>
    <t>D.12</t>
  </si>
  <si>
    <t>Mission Manager (SystemState/DrivingMode 총괄)</t>
  </si>
  <si>
    <t>크랭크 코스 상태</t>
  </si>
  <si>
    <t>S코스 상태</t>
  </si>
  <si>
    <t>신호등 코스 상태</t>
  </si>
  <si>
    <t>E.6</t>
  </si>
  <si>
    <t>가속코스 상태</t>
  </si>
  <si>
    <t>E.7</t>
  </si>
  <si>
    <t>Aruco 파킹 상태</t>
  </si>
  <si>
    <t>E.9</t>
  </si>
  <si>
    <t>이상 감지 (장애물, 구간별 FAIL 판정, E_STOP)</t>
  </si>
  <si>
    <t>전체 Launch 파일 통합</t>
  </si>
  <si>
    <t>노드 실행 순서 관리</t>
  </si>
  <si>
    <t>F.4</t>
  </si>
  <si>
    <t>노드 자동 재시작</t>
  </si>
  <si>
    <t>F.5</t>
  </si>
  <si>
    <t>F.6</t>
  </si>
  <si>
    <t>Watchdog 구성</t>
  </si>
  <si>
    <t>F.9</t>
  </si>
  <si>
    <r>
      <t xml:space="preserve">GitHub </t>
    </r>
    <r>
      <rPr>
        <sz val="11"/>
        <rFont val="맑은 고딕"/>
        <family val="3"/>
        <charset val="129"/>
      </rPr>
      <t>전략</t>
    </r>
    <r>
      <rPr>
        <sz val="11"/>
        <rFont val="Carlito"/>
        <family val="2"/>
      </rPr>
      <t xml:space="preserve"> </t>
    </r>
    <r>
      <rPr>
        <sz val="11"/>
        <rFont val="맑은 고딕"/>
        <family val="3"/>
        <charset val="129"/>
      </rPr>
      <t>구성</t>
    </r>
    <r>
      <rPr>
        <sz val="11"/>
        <rFont val="Carlito"/>
        <family val="2"/>
      </rPr>
      <t>(</t>
    </r>
    <r>
      <rPr>
        <sz val="11"/>
        <rFont val="맑은 고딕"/>
        <family val="3"/>
        <charset val="129"/>
      </rPr>
      <t>세그먼트</t>
    </r>
    <r>
      <rPr>
        <sz val="11"/>
        <rFont val="Carlito"/>
        <family val="2"/>
      </rPr>
      <t xml:space="preserve"> </t>
    </r>
    <r>
      <rPr>
        <sz val="11"/>
        <rFont val="맑은 고딕"/>
        <family val="3"/>
        <charset val="129"/>
      </rPr>
      <t>기반</t>
    </r>
    <r>
      <rPr>
        <sz val="11"/>
        <rFont val="Carlito"/>
        <family val="2"/>
      </rPr>
      <t xml:space="preserve"> </t>
    </r>
    <r>
      <rPr>
        <sz val="11"/>
        <rFont val="맑은 고딕"/>
        <family val="3"/>
        <charset val="129"/>
      </rPr>
      <t>브랜치</t>
    </r>
    <r>
      <rPr>
        <sz val="11"/>
        <rFont val="Carlito"/>
        <family val="2"/>
      </rPr>
      <t xml:space="preserve"> </t>
    </r>
    <r>
      <rPr>
        <sz val="11"/>
        <rFont val="맑은 고딕"/>
        <family val="3"/>
        <charset val="129"/>
      </rPr>
      <t>정책</t>
    </r>
    <r>
      <rPr>
        <sz val="11"/>
        <rFont val="Carlito"/>
        <family val="2"/>
      </rPr>
      <t>)</t>
    </r>
    <phoneticPr fontId="13" type="noConversion"/>
  </si>
  <si>
    <r>
      <rPr>
        <sz val="11"/>
        <rFont val="맑은 고딕"/>
        <family val="3"/>
        <charset val="129"/>
      </rPr>
      <t>서비스</t>
    </r>
    <r>
      <rPr>
        <sz val="11"/>
        <rFont val="Carlito"/>
        <family val="2"/>
      </rPr>
      <t xml:space="preserve"> </t>
    </r>
    <r>
      <rPr>
        <sz val="11"/>
        <rFont val="맑은 고딕"/>
        <family val="3"/>
        <charset val="129"/>
      </rPr>
      <t>시나리오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요구사항</t>
    </r>
    <r>
      <rPr>
        <sz val="11"/>
        <rFont val="Carlito"/>
        <family val="2"/>
      </rPr>
      <t xml:space="preserve"> </t>
    </r>
    <r>
      <rPr>
        <sz val="11"/>
        <rFont val="맑은 고딕"/>
        <family val="3"/>
        <charset val="129"/>
      </rPr>
      <t>정의</t>
    </r>
    <phoneticPr fontId="13" type="noConversion"/>
  </si>
  <si>
    <t>계획</t>
  </si>
  <si>
    <t>지도 작성 계획</t>
  </si>
  <si>
    <t>지도 작성 계획서</t>
  </si>
  <si>
    <t>대상 코스 전체 범위, SLAM 주행 경로, 필요 장비(로봇/원격PC) 확정</t>
  </si>
  <si>
    <t>코스 전체 커버리지, .pgm/.yaml 저장</t>
  </si>
  <si>
    <t>Localization</t>
  </si>
  <si>
    <t>nav2/amcl 설정</t>
  </si>
  <si>
    <t>초기 위치 추정 오차 기준 이내, 반복 재현성 확인 및 단일 목표점 이동 성공</t>
  </si>
  <si>
    <t>waypoint 파일</t>
  </si>
  <si>
    <t>Nav2</t>
  </si>
  <si>
    <t>Nav2 액션 클라이언트 로직</t>
  </si>
  <si>
    <t>전체 웨이포인트 시퀀스 정상 동작</t>
  </si>
  <si>
    <t>크랭크</t>
  </si>
  <si>
    <t>크랭크 트래킹 로직</t>
  </si>
  <si>
    <t>크랭크 코스 진입~완주 정상 동작</t>
  </si>
  <si>
    <t>S자</t>
  </si>
  <si>
    <t>S자 트래킹 로직</t>
  </si>
  <si>
    <t>S자 코스 진입~완주 정상 동작</t>
  </si>
  <si>
    <t>signal 판정 로직</t>
  </si>
  <si>
    <t>초록 3프레임 인식 PASS / 5초 초과 FAIL, 재출발 정상 동작</t>
  </si>
  <si>
    <t>accel 판정 로직</t>
  </si>
  <si>
    <t>규정 속도 0.5초 이상 유지 시 PASS, Nav2 파라미터 동적 변경 정상 동작</t>
  </si>
  <si>
    <t>주차 상태머신</t>
  </si>
  <si>
    <t>정렬 오차(좌우/거리) 기준 이내 PASS, 재시도 3회 소진 시 FAIL</t>
  </si>
  <si>
    <t>브리지</t>
  </si>
  <si>
    <t>외부 센서 데이터 ROS2 토픽 정상 발행</t>
  </si>
  <si>
    <t>IR</t>
  </si>
  <si>
    <t>IR 트래킹 연동</t>
  </si>
  <si>
    <t>데이터 수신 확인</t>
  </si>
  <si>
    <t>LED</t>
  </si>
  <si>
    <t>LED 센서 연동</t>
  </si>
  <si>
    <t>LED 연동 로직</t>
  </si>
  <si>
    <t>초음파</t>
  </si>
  <si>
    <t>초음파 연동 로직</t>
  </si>
  <si>
    <t>카메라 노드</t>
  </si>
  <si>
    <t>카메라 노드 정상 실행, 이미지 토픽 발행</t>
  </si>
  <si>
    <t>캘리브레이션 파라미터</t>
  </si>
  <si>
    <t>camera_matrix/dist_coeffs 확보, ArUco 거리 추정 오차 기준 이내</t>
  </si>
  <si>
    <t>HSV</t>
  </si>
  <si>
    <t>HSV 판별 로직</t>
  </si>
  <si>
    <t>조명 조건 변화에도 초록/파랑 판별 안정적 동작 (threshold 실측 확정)</t>
  </si>
  <si>
    <t>ArUco</t>
  </si>
  <si>
    <t>ArUco 검출 로직</t>
  </si>
  <si>
    <t>대상 마커 ID 인식, 코너 좌표 추출 정상</t>
  </si>
  <si>
    <t>자세추정</t>
  </si>
  <si>
    <t>자세 추정 로직</t>
  </si>
  <si>
    <t>거리(z)·각도(bearing) 산출 오차 기준 이내</t>
  </si>
  <si>
    <t>D.10</t>
  </si>
  <si>
    <t>TTS</t>
  </si>
  <si>
    <t>음성 안내(TTS)</t>
  </si>
  <si>
    <t>TTS 연동</t>
  </si>
  <si>
    <t>구간별 PASS/FAIL 및 상태 전이 시 음성 출력 정상</t>
  </si>
  <si>
    <t>D.11</t>
  </si>
  <si>
    <t>LED표시</t>
  </si>
  <si>
    <t>LED 상태 표시</t>
  </si>
  <si>
    <t>LED 상태 표시 로직</t>
  </si>
  <si>
    <t>구간별 색상 점등 정상, 좌우 비상등은 센서 미도착으로 보류</t>
  </si>
  <si>
    <t>연결상태·위치·배터리·구간별 PASS/FAIL·비상정지 등 도안 항목 구현</t>
  </si>
  <si>
    <t>총괄</t>
  </si>
  <si>
    <t>Mission Manager 로직</t>
  </si>
  <si>
    <t>전 구간 상태 전이가 하나의 상태머신으로 일관되게 관리됨</t>
  </si>
  <si>
    <t>IDLE</t>
  </si>
  <si>
    <t>대기 상태(IDLE)</t>
  </si>
  <si>
    <t>IDLE 상태 로직</t>
  </si>
  <si>
    <t>시작 전 대기, LED/TTS 초기 상태 정의</t>
  </si>
  <si>
    <t>크랭크상태</t>
  </si>
  <si>
    <t>크랭크 상태 로직</t>
  </si>
  <si>
    <t>S코스상태</t>
  </si>
  <si>
    <t>S코스 상태 로직</t>
  </si>
  <si>
    <t>신호등상태</t>
  </si>
  <si>
    <t>신호등 상태 로직</t>
  </si>
  <si>
    <t>wp6 도착 시 SIGNAL_WAIT 진입, 초록 3프레임 인식 또는 5초 타임아웃으로 판정 후 다음 지점 이동</t>
  </si>
  <si>
    <t>가속상태</t>
  </si>
  <si>
    <t>가속 상태 로직</t>
  </si>
  <si>
    <t>wp7 도착 시 표지판 인식 시 ACCEL_ZONE 진입, 규정 속도 0.5초 이상 유지 판정 후 다음 지점 이동</t>
  </si>
  <si>
    <t>파킹상태</t>
  </si>
  <si>
    <t>파킹 상태 로직</t>
  </si>
  <si>
    <t>wp9 도착 시 ArUco 탐색 상태로 정상 전환, 정렬 완료 판정 및 PASS 확정, 다음 지점 이동</t>
  </si>
  <si>
    <t>이상감지</t>
  </si>
  <si>
    <t>이상 감지 로직</t>
  </si>
  <si>
    <t>구간별 FAIL 사유(reason) 포함 기록, 경로탐색 3회 실패 시 E_STOP 진입 및 장애물 확인 시 LED 3회 깜빡이고 정지</t>
  </si>
  <si>
    <t>E.10</t>
  </si>
  <si>
    <t>복귀</t>
  </si>
  <si>
    <t>복귀 상태 (RESULT_SUMMARY/wp11 복귀)</t>
  </si>
  <si>
    <t>복귀 상태 로직</t>
  </si>
  <si>
    <t>전 구간 완주 후 wp11 복귀, 결과 요약 발행·TTS 안내</t>
  </si>
  <si>
    <t>E.11</t>
  </si>
  <si>
    <t>관리자명령</t>
  </si>
  <si>
    <t>관리자 명령 처리 (재시험/비상정지 서비스)</t>
  </si>
  <si>
    <t>관리자 명령 서비스</t>
  </si>
  <si>
    <t>/start_retry, /emergency_stop 서비스 정상 동작</t>
  </si>
  <si>
    <t>통합 launch 파일</t>
  </si>
  <si>
    <t>D.12;E.1</t>
  </si>
  <si>
    <t>bringup·camera·nav2·driving_node·audio·arduino_bridge 통합 실행</t>
  </si>
  <si>
    <t>전원 인가 자동 실행</t>
  </si>
  <si>
    <t>자동 실행 설정</t>
  </si>
  <si>
    <t>부팅 시 필요 노드 자동 기동</t>
  </si>
  <si>
    <t>실행순서</t>
  </si>
  <si>
    <t>실행 순서 관리 설정</t>
  </si>
  <si>
    <t>의존 순서(카메라→Nav2→driving_node 등) 보장</t>
  </si>
  <si>
    <t>재시작</t>
  </si>
  <si>
    <t>재시작 설정</t>
  </si>
  <si>
    <t>turtlebot3_ros 등 크래시 시 자동 복구</t>
  </si>
  <si>
    <t>통신안전</t>
  </si>
  <si>
    <t>Wi-Fi 단절 대응 로직</t>
  </si>
  <si>
    <t>통신 두절 시 안전 정지, 재연결 시 복귀</t>
  </si>
  <si>
    <t>Watchdog</t>
  </si>
  <si>
    <t>Watchdog 설정</t>
  </si>
  <si>
    <t>노드 응답 없음 감지 및 알림</t>
  </si>
  <si>
    <t>F.7</t>
  </si>
  <si>
    <t>성능최적화</t>
  </si>
  <si>
    <t>CPU와 메모리 최적화</t>
  </si>
  <si>
    <t>성능 최적화 설정</t>
  </si>
  <si>
    <t>vcgencmd 기준 스로틀링 미발생, 부하 기준 이내</t>
  </si>
  <si>
    <t>F.8</t>
  </si>
  <si>
    <t>통신최적화</t>
  </si>
  <si>
    <t>토픽 주기 최적화</t>
  </si>
  <si>
    <t>통신 최적화 설정</t>
  </si>
  <si>
    <t>RTPS_READER_HISTORY 등 경고 최소화</t>
  </si>
  <si>
    <t>파라미터통합</t>
  </si>
  <si>
    <t>최종 파라미터 세트</t>
  </si>
  <si>
    <t>전 구간 파라미터(threshold, 속도 등) 최종본 확정·문서화</t>
  </si>
  <si>
    <t>단위시험</t>
  </si>
  <si>
    <t>기능 단위 시험</t>
  </si>
  <si>
    <t>단위 시험 결과</t>
  </si>
  <si>
    <t>개별 함수(HSV 판별, pose 추정 등) 단위 검증</t>
  </si>
  <si>
    <t>컴포넌트시험</t>
  </si>
  <si>
    <t>컴포넌트 시험</t>
  </si>
  <si>
    <t>컴포넌트 시험 결과</t>
  </si>
  <si>
    <t>노드 단위(카메라, LED, TTS 등) 개별 정상 동작 확인</t>
  </si>
  <si>
    <t>직진 성능 시험</t>
  </si>
  <si>
    <t>정밀도 시험 결과</t>
  </si>
  <si>
    <t>지정 거리 직진 오차 기준 이내</t>
  </si>
  <si>
    <t>회전 성능 시험</t>
  </si>
  <si>
    <t>지정 각도 회전 오차 기준 이내</t>
  </si>
  <si>
    <t>Nav시험</t>
  </si>
  <si>
    <t>목표점 도착 시험</t>
  </si>
  <si>
    <t>Nav 시험 결과</t>
  </si>
  <si>
    <t>단일 목표점 이동 5회 성공(C.3과 연계)</t>
  </si>
  <si>
    <t>G.6</t>
  </si>
  <si>
    <t>통로시험</t>
  </si>
  <si>
    <t>좁은 통로 시험</t>
  </si>
  <si>
    <t>통로 시험 결과</t>
  </si>
  <si>
    <t>costmap inflation 튜닝 반영 후 통과 확인</t>
  </si>
  <si>
    <t>G.7</t>
  </si>
  <si>
    <t>회피시험</t>
  </si>
  <si>
    <t>정적 장애물 10회 회피(C.6과 연계)</t>
  </si>
  <si>
    <t>원문 그대로</t>
  </si>
  <si>
    <t>G.8</t>
  </si>
  <si>
    <t>라인트레이싱시험</t>
  </si>
  <si>
    <t>크랭크·S자 코스 완주 시험</t>
  </si>
  <si>
    <t>라인트레이싱 시험 결과</t>
  </si>
  <si>
    <t>E.3;E.4</t>
  </si>
  <si>
    <t>크랭크/S자 각 N회 완주 성공률 확인</t>
  </si>
  <si>
    <t>G.9</t>
  </si>
  <si>
    <t>신호가속시험</t>
  </si>
  <si>
    <t>신호등·가속구간 판정 시험</t>
  </si>
  <si>
    <t>신호가속 시험 결과</t>
  </si>
  <si>
    <t>SIGNAL_WAIT 5초 타임아웃, ACCEL_ZONE 규정속도 유지 반복 검증</t>
  </si>
  <si>
    <t>G.10</t>
  </si>
  <si>
    <t>주차시험</t>
  </si>
  <si>
    <t>ArUco 주차 정렬 성공률 시험</t>
  </si>
  <si>
    <t>주차 시험 결과</t>
  </si>
  <si>
    <t>정렬 성공률 N회 중 목표 비율 이상</t>
  </si>
  <si>
    <t>G.11</t>
  </si>
  <si>
    <t>재시험</t>
  </si>
  <si>
    <t>재시험 기능 시험</t>
  </si>
  <si>
    <t>재시험 결과</t>
  </si>
  <si>
    <t>구간별 /start_retry 호출 시 정상 판정·홈 복귀 확인</t>
  </si>
  <si>
    <t>G.12</t>
  </si>
  <si>
    <t>통신단절시험</t>
  </si>
  <si>
    <t>통신 단절 시험</t>
  </si>
  <si>
    <t>통신 단절 시험 결과</t>
  </si>
  <si>
    <t>Wi-Fi 단절 시나리오 대응 확인(F.6과 연계)</t>
  </si>
  <si>
    <t>G.13</t>
  </si>
  <si>
    <t>종료시험</t>
  </si>
  <si>
    <t>노드 종료 시험</t>
  </si>
  <si>
    <t>노드 종료 시험 결과</t>
  </si>
  <si>
    <t>개별 노드 강제 종료 시 시스템 영향 확인</t>
  </si>
  <si>
    <t>G.14</t>
  </si>
  <si>
    <t>통합인수</t>
  </si>
  <si>
    <t>G.8;G.7;G.12</t>
  </si>
  <si>
    <t>전 구간 통합 1회 완주, PASS/FAIL 요약 정상 발행</t>
  </si>
  <si>
    <t>사용자 요구사항 ID화 완료</t>
  </si>
  <si>
    <t>SRS</t>
  </si>
  <si>
    <t>시스템 요구사항 문서 (SRS)</t>
  </si>
  <si>
    <t>SRS 문서</t>
  </si>
  <si>
    <t>SR-F/SR-S 등 요구사항 ID·기준 명시</t>
  </si>
  <si>
    <t>하드웨어·소프트웨어 구성 다이어그램</t>
  </si>
  <si>
    <t>SAD</t>
  </si>
  <si>
    <t>소프트웨어 설계서 (SAD)</t>
  </si>
  <si>
    <t>SAD 문서</t>
  </si>
  <si>
    <t>노드 구조, 상태머신, 인터페이스 설계 반영</t>
  </si>
  <si>
    <t>H.5</t>
  </si>
  <si>
    <t>인터페이스명세</t>
  </si>
  <si>
    <t>ROS 2 인터페이스 명세서</t>
  </si>
  <si>
    <t>토픽/서비스/메시지 스펙 문서화(DrivingStatus, StartRetry 등)</t>
  </si>
  <si>
    <t>H.6</t>
  </si>
  <si>
    <t>GUI설계</t>
  </si>
  <si>
    <t>PyQt GUI 도안·요구사항 반영 문서화</t>
  </si>
  <si>
    <t>H.7</t>
  </si>
  <si>
    <t>시험결과</t>
  </si>
  <si>
    <t>G 영역 시험 결과 정리</t>
  </si>
  <si>
    <t>H.8</t>
  </si>
  <si>
    <t>설치·실행 개요 작성</t>
  </si>
  <si>
    <t>H.9</t>
  </si>
  <si>
    <t>설치매뉴얼</t>
  </si>
  <si>
    <t>패키지 설치·의존성 안내</t>
  </si>
  <si>
    <t>H.10</t>
  </si>
  <si>
    <t>실행매뉴얼</t>
  </si>
  <si>
    <t>실행 매뉴얼</t>
  </si>
  <si>
    <t>노드 실행 순서·명령어 안내</t>
  </si>
  <si>
    <t>H.11</t>
  </si>
  <si>
    <t>시연영상</t>
  </si>
  <si>
    <t>전 구간 시연 촬영본</t>
  </si>
  <si>
    <t>H.12</t>
  </si>
  <si>
    <t>발표자료</t>
  </si>
  <si>
    <t>H.3;H.7</t>
  </si>
  <si>
    <t>최종 발표 슬라이드</t>
  </si>
  <si>
    <t>H.13</t>
  </si>
  <si>
    <t>Release</t>
  </si>
  <si>
    <t>H.8;H.9;H.10</t>
  </si>
  <si>
    <t>태그·릴리스 노트 작성</t>
  </si>
  <si>
    <t>H.14</t>
  </si>
  <si>
    <t>팀 회고 문서화</t>
  </si>
  <si>
    <r>
      <t>4</t>
    </r>
    <r>
      <rPr>
        <sz val="11"/>
        <rFont val="맑은 고딕"/>
        <family val="3"/>
        <charset val="129"/>
      </rPr>
      <t>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일정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마일스톤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</t>
    </r>
    <phoneticPr fontId="13" type="noConversion"/>
  </si>
  <si>
    <r>
      <rPr>
        <sz val="11"/>
        <rFont val="맑은 고딕"/>
        <family val="3"/>
        <charset val="129"/>
      </rPr>
      <t>장애물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대응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파라미터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설정</t>
    </r>
    <phoneticPr fontId="13" type="noConversion"/>
  </si>
  <si>
    <t>안전</t>
    <phoneticPr fontId="13" type="noConversion"/>
  </si>
  <si>
    <r>
      <rPr>
        <sz val="11"/>
        <rFont val="맑은 고딕"/>
        <family val="2"/>
        <charset val="129"/>
      </rPr>
      <t>안전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파라미터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세트</t>
    </r>
    <phoneticPr fontId="13" type="noConversion"/>
  </si>
  <si>
    <t>?</t>
    <phoneticPr fontId="13" type="noConversion"/>
  </si>
  <si>
    <r>
      <rPr>
        <sz val="11"/>
        <rFont val="맑은 고딕"/>
        <family val="3"/>
        <charset val="129"/>
      </rPr>
      <t>확인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</t>
    </r>
    <phoneticPr fontId="13" type="noConversion"/>
  </si>
  <si>
    <r>
      <rPr>
        <sz val="11"/>
        <rFont val="맑은 고딕"/>
        <family val="3"/>
        <charset val="129"/>
      </rPr>
      <t>서비스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시나리오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정의</t>
    </r>
    <phoneticPr fontId="13" type="noConversion"/>
  </si>
  <si>
    <r>
      <t xml:space="preserve">arduino_sensor_bridge_serial </t>
    </r>
    <r>
      <rPr>
        <sz val="11"/>
        <rFont val="맑은 고딕"/>
        <family val="3"/>
        <charset val="129"/>
      </rPr>
      <t>노드</t>
    </r>
    <phoneticPr fontId="13" type="noConversion"/>
  </si>
  <si>
    <t>확인 필요</t>
    <phoneticPr fontId="13" type="noConversion"/>
  </si>
  <si>
    <t>5주차</t>
  </si>
  <si>
    <r>
      <rPr>
        <sz val="11"/>
        <rFont val="맑은 고딕"/>
        <family val="3"/>
        <charset val="129"/>
      </rPr>
      <t>크랭크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진입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IR</t>
    </r>
    <r>
      <rPr>
        <sz val="11"/>
        <rFont val="맑은 고딕"/>
        <family val="2"/>
        <charset val="129"/>
      </rPr>
      <t>센서 제어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완주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판정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</t>
    </r>
    <phoneticPr fontId="13" type="noConversion"/>
  </si>
  <si>
    <r>
      <t>S</t>
    </r>
    <r>
      <rPr>
        <sz val="11"/>
        <rFont val="맑은 고딕"/>
        <family val="3"/>
        <charset val="129"/>
      </rPr>
      <t>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진입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완주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판정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</si>
</sst>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&quot;일&quot;"/>
    <numFmt numFmtId="178" formatCode=";;;"/>
  </numFmts>
  <fonts count="25">
    <font>
      <sz val="11"/>
      <name val="Carlito"/>
    </font>
    <font>
      <b/>
      <sz val="20"/>
      <color rgb="FFFFFFFF"/>
      <name val="Carlito"/>
    </font>
    <font>
      <b/>
      <sz val="10"/>
      <color rgb="FFFFFFFF"/>
      <name val="Carlito"/>
    </font>
    <font>
      <b/>
      <sz val="11"/>
      <color rgb="FF3A3A3A"/>
      <name val="Carlito"/>
    </font>
    <font>
      <b/>
      <sz val="24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20"/>
      <color rgb="FF1C75BC"/>
      <name val="Carlito"/>
    </font>
    <font>
      <b/>
      <sz val="9"/>
      <color rgb="FF3A3A3A"/>
      <name val="Carlito"/>
    </font>
    <font>
      <b/>
      <sz val="20"/>
      <color rgb="FF70B32F"/>
      <name val="Carlito"/>
    </font>
    <font>
      <b/>
      <sz val="20"/>
      <color rgb="FFF59E0B"/>
      <name val="Carlito"/>
    </font>
    <font>
      <b/>
      <sz val="20"/>
      <color rgb="FF3A3A3A"/>
      <name val="Carlito"/>
    </font>
    <font>
      <sz val="11"/>
      <name val="Carlito"/>
    </font>
    <font>
      <sz val="8"/>
      <name val="돋움"/>
      <family val="3"/>
      <charset val="129"/>
    </font>
    <font>
      <b/>
      <sz val="20"/>
      <color rgb="FFFFFFFF"/>
      <name val="맑은 고딕"/>
      <family val="3"/>
      <charset val="129"/>
    </font>
    <font>
      <b/>
      <sz val="11"/>
      <color rgb="FF3A3A3A"/>
      <name val="맑은 고딕"/>
      <family val="3"/>
      <charset val="129"/>
    </font>
    <font>
      <b/>
      <sz val="11"/>
      <color rgb="FF3A3A3A"/>
      <name val="Arial"/>
      <family val="2"/>
    </font>
    <font>
      <b/>
      <sz val="11"/>
      <color rgb="FF3A3A3A"/>
      <name val="Carlito"/>
      <family val="2"/>
      <charset val="129"/>
    </font>
    <font>
      <b/>
      <sz val="11"/>
      <color rgb="FF3A3A3A"/>
      <name val="Carlito"/>
      <family val="3"/>
      <charset val="129"/>
    </font>
    <font>
      <sz val="11"/>
      <name val="맑은 고딕"/>
      <family val="3"/>
      <charset val="129"/>
    </font>
    <font>
      <sz val="11"/>
      <name val="Carlito"/>
      <family val="2"/>
    </font>
    <font>
      <sz val="11"/>
      <name val="Carlito"/>
      <family val="2"/>
      <charset val="129"/>
    </font>
    <font>
      <sz val="11"/>
      <name val="Carlito"/>
      <family val="3"/>
      <charset val="129"/>
    </font>
    <font>
      <sz val="11"/>
      <name val="Arial"/>
      <family val="2"/>
    </font>
    <font>
      <sz val="1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C75BC"/>
      </patternFill>
    </fill>
    <fill>
      <patternFill patternType="solid">
        <fgColor rgb="FFEEF6FC"/>
      </patternFill>
    </fill>
    <fill>
      <patternFill patternType="solid">
        <fgColor rgb="FF3A3A3A"/>
      </patternFill>
    </fill>
    <fill>
      <patternFill patternType="solid">
        <fgColor rgb="FFDCEEFF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/>
      <right style="thin">
        <color rgb="FFD0D5DD"/>
      </right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D0D5DD"/>
      </top>
      <bottom/>
      <diagonal/>
    </border>
    <border>
      <left/>
      <right/>
      <top/>
      <bottom style="thin">
        <color rgb="FFD0D5DD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">
    <xf numFmtId="0" fontId="0" fillId="0" borderId="0"/>
    <xf numFmtId="0" fontId="12" fillId="0" borderId="0"/>
  </cellStyleXfs>
  <cellXfs count="13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0" borderId="6" xfId="1" applyFont="1" applyBorder="1"/>
    <xf numFmtId="0" fontId="0" fillId="0" borderId="8" xfId="1" applyFont="1" applyBorder="1"/>
    <xf numFmtId="0" fontId="0" fillId="0" borderId="10" xfId="1" applyFont="1" applyBorder="1"/>
    <xf numFmtId="0" fontId="2" fillId="2" borderId="12" xfId="1" applyFont="1" applyFill="1" applyBorder="1" applyAlignment="1">
      <alignment horizontal="center" vertical="center" wrapText="1"/>
    </xf>
    <xf numFmtId="0" fontId="0" fillId="0" borderId="13" xfId="1" applyFont="1" applyBorder="1"/>
    <xf numFmtId="0" fontId="0" fillId="0" borderId="0" xfId="1" applyFont="1"/>
    <xf numFmtId="0" fontId="0" fillId="0" borderId="14" xfId="1" applyFont="1" applyBorder="1"/>
    <xf numFmtId="0" fontId="0" fillId="0" borderId="13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13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14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0" fillId="0" borderId="6" xfId="1" applyFont="1" applyBorder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176" fontId="0" fillId="0" borderId="13" xfId="1" applyNumberFormat="1" applyFont="1" applyBorder="1" applyAlignment="1">
      <alignment horizontal="center" vertical="center"/>
    </xf>
    <xf numFmtId="1" fontId="0" fillId="0" borderId="13" xfId="1" applyNumberFormat="1" applyFont="1" applyBorder="1" applyAlignment="1">
      <alignment horizontal="center" vertical="center"/>
    </xf>
    <xf numFmtId="9" fontId="0" fillId="0" borderId="13" xfId="1" applyNumberFormat="1" applyFont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3" fillId="5" borderId="3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9" fontId="0" fillId="0" borderId="7" xfId="1" applyNumberFormat="1" applyFont="1" applyBorder="1"/>
    <xf numFmtId="9" fontId="0" fillId="0" borderId="9" xfId="1" applyNumberFormat="1" applyFont="1" applyBorder="1"/>
    <xf numFmtId="9" fontId="0" fillId="0" borderId="11" xfId="1" applyNumberFormat="1" applyFont="1" applyBorder="1"/>
    <xf numFmtId="0" fontId="0" fillId="0" borderId="6" xfId="1" applyFont="1" applyBorder="1" applyAlignment="1">
      <alignment vertical="top" wrapText="1"/>
    </xf>
    <xf numFmtId="0" fontId="0" fillId="0" borderId="13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0" fillId="0" borderId="14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0" fillId="0" borderId="6" xfId="1" applyFont="1" applyBorder="1" applyAlignment="1">
      <alignment vertical="top"/>
    </xf>
    <xf numFmtId="0" fontId="0" fillId="0" borderId="7" xfId="1" applyFont="1" applyBorder="1" applyAlignment="1">
      <alignment vertical="top"/>
    </xf>
    <xf numFmtId="0" fontId="0" fillId="0" borderId="8" xfId="1" applyFont="1" applyBorder="1" applyAlignment="1">
      <alignment vertical="top"/>
    </xf>
    <xf numFmtId="0" fontId="0" fillId="0" borderId="9" xfId="1" applyFont="1" applyBorder="1" applyAlignment="1">
      <alignment vertical="top"/>
    </xf>
    <xf numFmtId="0" fontId="0" fillId="0" borderId="10" xfId="1" applyFont="1" applyBorder="1" applyAlignment="1">
      <alignment vertical="top"/>
    </xf>
    <xf numFmtId="0" fontId="0" fillId="0" borderId="11" xfId="1" applyFont="1" applyBorder="1" applyAlignment="1">
      <alignment vertical="top"/>
    </xf>
    <xf numFmtId="58" fontId="8" fillId="5" borderId="21" xfId="1" applyNumberFormat="1" applyFont="1" applyFill="1" applyBorder="1" applyAlignment="1">
      <alignment horizontal="center" vertical="center"/>
    </xf>
    <xf numFmtId="58" fontId="8" fillId="5" borderId="22" xfId="1" applyNumberFormat="1" applyFont="1" applyFill="1" applyBorder="1" applyAlignment="1">
      <alignment horizontal="center" vertical="center"/>
    </xf>
    <xf numFmtId="58" fontId="8" fillId="5" borderId="23" xfId="1" applyNumberFormat="1" applyFont="1" applyFill="1" applyBorder="1" applyAlignment="1">
      <alignment horizontal="center" vertical="center"/>
    </xf>
    <xf numFmtId="1" fontId="0" fillId="0" borderId="0" xfId="1" applyNumberFormat="1" applyFont="1"/>
    <xf numFmtId="49" fontId="0" fillId="0" borderId="13" xfId="1" applyNumberFormat="1" applyFont="1" applyBorder="1" applyAlignment="1">
      <alignment vertical="top"/>
    </xf>
    <xf numFmtId="49" fontId="0" fillId="0" borderId="0" xfId="1" applyNumberFormat="1" applyFont="1" applyAlignment="1">
      <alignment vertical="top"/>
    </xf>
    <xf numFmtId="49" fontId="0" fillId="0" borderId="14" xfId="1" applyNumberFormat="1" applyFont="1" applyBorder="1" applyAlignment="1">
      <alignment vertical="top"/>
    </xf>
    <xf numFmtId="0" fontId="19" fillId="0" borderId="0" xfId="1" applyFont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22" fillId="0" borderId="13" xfId="1" applyFont="1" applyBorder="1" applyAlignment="1">
      <alignment vertical="center" wrapText="1"/>
    </xf>
    <xf numFmtId="0" fontId="22" fillId="0" borderId="0" xfId="1" applyFont="1" applyAlignment="1">
      <alignment vertical="center" wrapText="1"/>
    </xf>
    <xf numFmtId="0" fontId="19" fillId="0" borderId="0" xfId="1" applyFont="1" applyAlignment="1">
      <alignment vertical="center" wrapText="1"/>
    </xf>
    <xf numFmtId="0" fontId="21" fillId="0" borderId="0" xfId="1" applyFont="1" applyAlignment="1">
      <alignment vertical="center" wrapText="1"/>
    </xf>
    <xf numFmtId="0" fontId="22" fillId="0" borderId="0" xfId="1" applyFont="1" applyAlignment="1">
      <alignment horizontal="center" vertical="center"/>
    </xf>
    <xf numFmtId="178" fontId="12" fillId="0" borderId="13" xfId="1" applyNumberFormat="1" applyBorder="1" applyAlignment="1">
      <alignment horizontal="center"/>
    </xf>
    <xf numFmtId="178" fontId="12" fillId="0" borderId="7" xfId="1" applyNumberFormat="1" applyBorder="1" applyAlignment="1">
      <alignment horizontal="center"/>
    </xf>
    <xf numFmtId="178" fontId="12" fillId="0" borderId="0" xfId="1" applyNumberFormat="1" applyAlignment="1">
      <alignment horizontal="center"/>
    </xf>
    <xf numFmtId="178" fontId="12" fillId="0" borderId="9" xfId="1" applyNumberFormat="1" applyBorder="1" applyAlignment="1">
      <alignment horizontal="center"/>
    </xf>
    <xf numFmtId="178" fontId="12" fillId="0" borderId="14" xfId="1" applyNumberFormat="1" applyBorder="1" applyAlignment="1">
      <alignment horizontal="center"/>
    </xf>
    <xf numFmtId="178" fontId="12" fillId="0" borderId="11" xfId="1" applyNumberFormat="1" applyBorder="1" applyAlignment="1">
      <alignment horizontal="center"/>
    </xf>
    <xf numFmtId="0" fontId="14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18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5" fillId="4" borderId="21" xfId="1" applyFont="1" applyFill="1" applyBorder="1" applyAlignment="1">
      <alignment horizontal="center" vertical="center"/>
    </xf>
    <xf numFmtId="0" fontId="5" fillId="4" borderId="22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2" borderId="15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177" fontId="0" fillId="6" borderId="6" xfId="1" applyNumberFormat="1" applyFont="1" applyFill="1" applyBorder="1" applyAlignment="1">
      <alignment horizontal="center" vertical="center"/>
    </xf>
    <xf numFmtId="177" fontId="7" fillId="6" borderId="7" xfId="1" applyNumberFormat="1" applyFont="1" applyFill="1" applyBorder="1" applyAlignment="1">
      <alignment horizontal="center" vertical="center"/>
    </xf>
    <xf numFmtId="177" fontId="7" fillId="6" borderId="8" xfId="1" applyNumberFormat="1" applyFont="1" applyFill="1" applyBorder="1" applyAlignment="1">
      <alignment horizontal="center" vertical="center"/>
    </xf>
    <xf numFmtId="177" fontId="7" fillId="6" borderId="9" xfId="1" applyNumberFormat="1" applyFont="1" applyFill="1" applyBorder="1" applyAlignment="1">
      <alignment horizontal="center" vertical="center"/>
    </xf>
    <xf numFmtId="177" fontId="7" fillId="6" borderId="10" xfId="1" applyNumberFormat="1" applyFont="1" applyFill="1" applyBorder="1" applyAlignment="1">
      <alignment horizontal="center" vertical="center"/>
    </xf>
    <xf numFmtId="177" fontId="7" fillId="6" borderId="11" xfId="1" applyNumberFormat="1" applyFont="1" applyFill="1" applyBorder="1" applyAlignment="1">
      <alignment horizontal="center" vertical="center"/>
    </xf>
    <xf numFmtId="0" fontId="6" fillId="4" borderId="0" xfId="1" applyFont="1" applyFill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0" fillId="6" borderId="6" xfId="1" applyFont="1" applyFill="1" applyBorder="1" applyAlignment="1">
      <alignment horizontal="center" vertical="center"/>
    </xf>
    <xf numFmtId="0" fontId="11" fillId="6" borderId="7" xfId="1" applyFont="1" applyFill="1" applyBorder="1" applyAlignment="1">
      <alignment horizontal="center" vertical="center"/>
    </xf>
    <xf numFmtId="0" fontId="11" fillId="6" borderId="8" xfId="1" applyFont="1" applyFill="1" applyBorder="1" applyAlignment="1">
      <alignment horizontal="center" vertical="center"/>
    </xf>
    <xf numFmtId="0" fontId="11" fillId="6" borderId="9" xfId="1" applyFont="1" applyFill="1" applyBorder="1" applyAlignment="1">
      <alignment horizontal="center" vertical="center"/>
    </xf>
    <xf numFmtId="0" fontId="11" fillId="6" borderId="10" xfId="1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9" fontId="0" fillId="6" borderId="6" xfId="1" applyNumberFormat="1" applyFont="1" applyFill="1" applyBorder="1" applyAlignment="1">
      <alignment horizontal="center" vertical="center"/>
    </xf>
    <xf numFmtId="9" fontId="7" fillId="6" borderId="7" xfId="1" applyNumberFormat="1" applyFont="1" applyFill="1" applyBorder="1" applyAlignment="1">
      <alignment horizontal="center" vertical="center"/>
    </xf>
    <xf numFmtId="9" fontId="7" fillId="6" borderId="8" xfId="1" applyNumberFormat="1" applyFont="1" applyFill="1" applyBorder="1" applyAlignment="1">
      <alignment horizontal="center" vertical="center"/>
    </xf>
    <xf numFmtId="9" fontId="7" fillId="6" borderId="9" xfId="1" applyNumberFormat="1" applyFont="1" applyFill="1" applyBorder="1" applyAlignment="1">
      <alignment horizontal="center" vertical="center"/>
    </xf>
    <xf numFmtId="9" fontId="7" fillId="6" borderId="10" xfId="1" applyNumberFormat="1" applyFont="1" applyFill="1" applyBorder="1" applyAlignment="1">
      <alignment horizontal="center" vertical="center"/>
    </xf>
    <xf numFmtId="9" fontId="7" fillId="6" borderId="11" xfId="1" applyNumberFormat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7" fillId="6" borderId="8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 vertical="center"/>
    </xf>
    <xf numFmtId="0" fontId="7" fillId="6" borderId="10" xfId="1" applyFont="1" applyFill="1" applyBorder="1" applyAlignment="1">
      <alignment horizontal="center" vertical="center"/>
    </xf>
    <xf numFmtId="0" fontId="7" fillId="6" borderId="11" xfId="1" applyFont="1" applyFill="1" applyBorder="1" applyAlignment="1">
      <alignment horizontal="center" vertical="center"/>
    </xf>
    <xf numFmtId="0" fontId="9" fillId="6" borderId="7" xfId="1" applyFont="1" applyFill="1" applyBorder="1" applyAlignment="1">
      <alignment horizontal="center" vertical="center"/>
    </xf>
    <xf numFmtId="0" fontId="9" fillId="6" borderId="8" xfId="1" applyFont="1" applyFill="1" applyBorder="1" applyAlignment="1">
      <alignment horizontal="center" vertical="center"/>
    </xf>
    <xf numFmtId="0" fontId="9" fillId="6" borderId="9" xfId="1" applyFont="1" applyFill="1" applyBorder="1" applyAlignment="1">
      <alignment horizontal="center" vertical="center"/>
    </xf>
    <xf numFmtId="0" fontId="9" fillId="6" borderId="10" xfId="1" applyFont="1" applyFill="1" applyBorder="1" applyAlignment="1">
      <alignment horizontal="center" vertical="center"/>
    </xf>
    <xf numFmtId="0" fontId="9" fillId="6" borderId="11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6" borderId="8" xfId="1" applyFont="1" applyFill="1" applyBorder="1" applyAlignment="1">
      <alignment horizontal="center" vertical="center"/>
    </xf>
    <xf numFmtId="0" fontId="10" fillId="6" borderId="9" xfId="1" applyFont="1" applyFill="1" applyBorder="1" applyAlignment="1">
      <alignment horizontal="center" vertical="center"/>
    </xf>
    <xf numFmtId="0" fontId="10" fillId="6" borderId="10" xfId="1" applyFont="1" applyFill="1" applyBorder="1" applyAlignment="1">
      <alignment horizontal="center" vertical="center"/>
    </xf>
    <xf numFmtId="0" fontId="10" fillId="6" borderId="11" xfId="1" applyFont="1" applyFill="1" applyBorder="1" applyAlignment="1">
      <alignment horizontal="center" vertical="center"/>
    </xf>
    <xf numFmtId="176" fontId="0" fillId="0" borderId="0" xfId="1" applyNumberFormat="1" applyFont="1" applyAlignment="1">
      <alignment vertical="center"/>
    </xf>
    <xf numFmtId="0" fontId="0" fillId="0" borderId="0" xfId="1" applyFont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4" fillId="2" borderId="0" xfId="1" applyFont="1" applyFill="1" applyAlignment="1">
      <alignment horizontal="left" vertical="center"/>
    </xf>
    <xf numFmtId="0" fontId="5" fillId="4" borderId="0" xfId="1" applyFont="1" applyFill="1" applyAlignment="1">
      <alignment horizontal="left" vertical="center"/>
    </xf>
    <xf numFmtId="0" fontId="0" fillId="0" borderId="13" xfId="1" applyFont="1" applyBorder="1" applyAlignment="1">
      <alignment vertical="center"/>
    </xf>
    <xf numFmtId="176" fontId="0" fillId="0" borderId="13" xfId="1" applyNumberFormat="1" applyFont="1" applyBorder="1" applyAlignment="1">
      <alignment vertical="center"/>
    </xf>
    <xf numFmtId="0" fontId="3" fillId="5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37">
    <dxf>
      <font>
        <b/>
        <color rgb="FF1C75BC"/>
      </font>
      <fill>
        <patternFill>
          <bgColor rgb="FF1C75BC"/>
        </patternFill>
      </fill>
    </dxf>
    <dxf>
      <fill>
        <patternFill>
          <bgColor rgb="FFE7F7E1"/>
        </patternFill>
      </fill>
    </dxf>
    <dxf>
      <fill>
        <patternFill>
          <bgColor theme="3" tint="0.89996032593768116"/>
        </patternFill>
      </fill>
    </dxf>
    <dxf>
      <fill>
        <patternFill>
          <bgColor rgb="FFCEFEF1"/>
        </patternFill>
      </fill>
    </dxf>
    <dxf>
      <border>
        <left style="thin">
          <color rgb="FFC00000"/>
        </left>
        <right style="thin">
          <color rgb="FFC00000"/>
        </right>
        <top/>
        <bottom/>
        <vertical/>
        <horizontal/>
      </border>
    </dxf>
    <dxf>
      <font>
        <color rgb="FF344054"/>
      </font>
      <fill>
        <patternFill>
          <bgColor rgb="FFEAECF0"/>
        </patternFill>
      </fill>
    </dxf>
    <dxf>
      <font>
        <b/>
        <color rgb="FF93370D"/>
      </font>
      <fill>
        <patternFill>
          <bgColor rgb="FFFEF0C7"/>
        </patternFill>
      </fill>
    </dxf>
    <dxf>
      <font>
        <b/>
        <color rgb="FF05603A"/>
      </font>
      <fill>
        <patternFill>
          <bgColor rgb="FFD1FADF"/>
        </patternFill>
      </fill>
    </dxf>
    <dxf>
      <font>
        <b/>
        <color rgb="FFB42318"/>
      </font>
      <fill>
        <patternFill>
          <bgColor rgb="FFFEE4E2"/>
        </patternFill>
      </fill>
    </dxf>
    <dxf>
      <font>
        <color rgb="FF344054"/>
      </font>
      <fill>
        <patternFill>
          <bgColor rgb="FFEAECF0"/>
        </patternFill>
      </fill>
    </dxf>
    <dxf>
      <font>
        <b/>
        <color rgb="FF93370D"/>
      </font>
      <fill>
        <patternFill>
          <bgColor rgb="FFFEF0C7"/>
        </patternFill>
      </fill>
    </dxf>
    <dxf>
      <font>
        <b/>
        <color rgb="FF05603A"/>
      </font>
      <fill>
        <patternFill>
          <bgColor rgb="FFD1FADF"/>
        </patternFill>
      </fill>
    </dxf>
    <dxf>
      <font>
        <b/>
        <color rgb="FFED1C24"/>
      </font>
    </dxf>
    <dxf>
      <font>
        <b/>
      </font>
      <fill>
        <patternFill>
          <bgColor rgb="FFFDF2E9"/>
        </patternFill>
      </fill>
    </dxf>
    <dxf>
      <font>
        <b/>
      </font>
      <fill>
        <patternFill>
          <bgColor rgb="FFF2F4F4"/>
        </patternFill>
      </fill>
    </dxf>
    <dxf>
      <font>
        <b/>
      </font>
      <fill>
        <patternFill>
          <bgColor rgb="FFFDEDEC"/>
        </patternFill>
      </fill>
    </dxf>
    <dxf>
      <font>
        <b/>
      </font>
      <fill>
        <patternFill>
          <bgColor rgb="FFF5EEF8"/>
        </patternFill>
      </fill>
    </dxf>
    <dxf>
      <font>
        <b/>
      </font>
      <fill>
        <patternFill>
          <bgColor rgb="FFFEF9E7"/>
        </patternFill>
      </fill>
    </dxf>
    <dxf>
      <font>
        <b/>
      </font>
      <fill>
        <patternFill>
          <bgColor rgb="FFE8F8F5"/>
        </patternFill>
      </fill>
    </dxf>
    <dxf>
      <font>
        <b/>
      </font>
      <fill>
        <patternFill>
          <bgColor rgb="FFEBF5FB"/>
        </patternFill>
      </fill>
    </dxf>
    <dxf>
      <font>
        <b/>
      </font>
      <fill>
        <patternFill>
          <bgColor rgb="FFEAF2F8"/>
        </patternFill>
      </fill>
    </dxf>
    <dxf>
      <fill>
        <patternFill>
          <bgColor theme="8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D0D5D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76" formatCode="yyyy\-mm\-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76" formatCode="yyyy\-mm\-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0D5DD"/>
        </left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7F7E1"/>
      <color rgb="FFCEFEF1"/>
      <color rgb="FFC1E9B1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대분류별 평균 진척률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 진척률</c:v>
          </c:tx>
          <c:invertIfNegative val="1"/>
          <c:cat>
            <c:strRef>
              <c:f>WBS_요약!$A$24:$A$31</c:f>
              <c:strCache>
                <c:ptCount val="8"/>
                <c:pt idx="0">
                  <c:v>프로젝트 관리</c:v>
                </c:pt>
                <c:pt idx="1">
                  <c:v>로봇 시스템</c:v>
                </c:pt>
                <c:pt idx="2">
                  <c:v>지도·자율주행</c:v>
                </c:pt>
                <c:pt idx="3">
                  <c:v>센서·비전</c:v>
                </c:pt>
                <c:pt idx="4">
                  <c:v>서비스 기능</c:v>
                </c:pt>
                <c:pt idx="5">
                  <c:v>시스템 통합</c:v>
                </c:pt>
                <c:pt idx="6">
                  <c:v>시험·검증</c:v>
                </c:pt>
                <c:pt idx="7">
                  <c:v>문서·발표</c:v>
                </c:pt>
              </c:strCache>
            </c:strRef>
          </c:cat>
          <c:val>
            <c:numRef>
              <c:f>WBS_요약!$P$24:$P$31</c:f>
              <c:numCache>
                <c:formatCode>0</c:formatCode>
                <c:ptCount val="8"/>
                <c:pt idx="0">
                  <c:v>58.333333333333336</c:v>
                </c:pt>
                <c:pt idx="1">
                  <c:v>80</c:v>
                </c:pt>
                <c:pt idx="2">
                  <c:v>100</c:v>
                </c:pt>
                <c:pt idx="3">
                  <c:v>95.833333333333343</c:v>
                </c:pt>
                <c:pt idx="4">
                  <c:v>100</c:v>
                </c:pt>
                <c:pt idx="5">
                  <c:v>11.111111111111111</c:v>
                </c:pt>
                <c:pt idx="6">
                  <c:v>14.285714285714285</c:v>
                </c:pt>
                <c:pt idx="7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2B8-91D2-1A5F8C35D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876300" cy="1181100"/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66750" cy="895350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66750" cy="895350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PlanTable" displayName="WBSPlanTable" ref="A6:O89">
  <autoFilter ref="A6:O89" xr:uid="{00000000-000C-0000-FFFF-FFFF00000000}"/>
  <tableColumns count="15">
    <tableColumn id="1" xr3:uid="{00000000-0010-0000-0000-000001000000}" name="WBS ID" dataDxfId="36" dataCellStyle="Normal"/>
    <tableColumn id="2" xr3:uid="{00000000-0010-0000-0000-000002000000}" name="대분류" dataDxfId="35" dataCellStyle="Normal"/>
    <tableColumn id="3" xr3:uid="{00000000-0010-0000-0000-000003000000}" name="중분류" dataDxfId="34" dataCellStyle="Normal"/>
    <tableColumn id="4" xr3:uid="{00000000-0010-0000-0000-000004000000}" name="작업 패키지" dataDxfId="33" dataCellStyle="Normal"/>
    <tableColumn id="5" xr3:uid="{00000000-0010-0000-0000-000005000000}" name="주요 산출물" dataDxfId="32" dataCellStyle="Normal"/>
    <tableColumn id="6" xr3:uid="{00000000-0010-0000-0000-000006000000}" name="담당자" dataDxfId="31" dataCellStyle="Normal"/>
    <tableColumn id="7" xr3:uid="{00000000-0010-0000-0000-000007000000}" name="시작일" dataDxfId="30" dataCellStyle="Normal"/>
    <tableColumn id="8" xr3:uid="{00000000-0010-0000-0000-000008000000}" name="종료일" dataDxfId="29" dataCellStyle="Normal"/>
    <tableColumn id="9" xr3:uid="{00000000-0010-0000-0000-000009000000}" name="기간(일)" dataDxfId="28" dataCellStyle="Normal"/>
    <tableColumn id="10" xr3:uid="{00000000-0010-0000-0000-00000A000000}" name="선행 작업" dataDxfId="27" dataCellStyle="Normal"/>
    <tableColumn id="11" xr3:uid="{00000000-0010-0000-0000-00000B000000}" name="우선순위" dataDxfId="26" dataCellStyle="Normal"/>
    <tableColumn id="12" xr3:uid="{00000000-0010-0000-0000-00000C000000}" name="상태" dataDxfId="25" dataCellStyle="Normal"/>
    <tableColumn id="13" xr3:uid="{00000000-0010-0000-0000-00000D000000}" name="진척률" dataDxfId="24" dataCellStyle="Normal"/>
    <tableColumn id="14" xr3:uid="{00000000-0010-0000-0000-00000E000000}" name="완료 기준" dataDxfId="23" dataCellStyle="Normal"/>
    <tableColumn id="15" xr3:uid="{00000000-0010-0000-0000-00000F000000}" name="비고" dataDxfId="2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"/>
  <sheetViews>
    <sheetView tabSelected="1" topLeftCell="A48" zoomScaleNormal="100" workbookViewId="0">
      <selection activeCell="H59" sqref="H59"/>
    </sheetView>
  </sheetViews>
  <sheetFormatPr defaultRowHeight="14.25"/>
  <cols>
    <col min="1" max="1" width="10" customWidth="1"/>
    <col min="2" max="2" width="18" customWidth="1"/>
    <col min="3" max="3" width="14" customWidth="1"/>
    <col min="4" max="4" width="34" customWidth="1"/>
    <col min="5" max="5" width="25" customWidth="1"/>
    <col min="6" max="6" width="16" customWidth="1"/>
    <col min="7" max="8" width="12" customWidth="1"/>
    <col min="9" max="9" width="9" customWidth="1"/>
    <col min="10" max="10" width="14" customWidth="1"/>
    <col min="11" max="13" width="10" customWidth="1"/>
    <col min="14" max="14" width="34" customWidth="1"/>
    <col min="15" max="15" width="18" customWidth="1"/>
  </cols>
  <sheetData>
    <row r="1" spans="1:15" ht="30" customHeight="1">
      <c r="A1" s="69" t="s">
        <v>227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ht="30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4" spans="1:15" ht="24" customHeight="1">
      <c r="A4" s="71" t="s">
        <v>228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</row>
    <row r="6" spans="1:15" ht="33.950000000000003" customHeight="1">
      <c r="A6" s="1" t="s">
        <v>39</v>
      </c>
      <c r="B6" s="6" t="s">
        <v>26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44</v>
      </c>
      <c r="H6" s="6" t="s">
        <v>45</v>
      </c>
      <c r="I6" s="6" t="s">
        <v>46</v>
      </c>
      <c r="J6" s="6" t="s">
        <v>47</v>
      </c>
      <c r="K6" s="6" t="s">
        <v>48</v>
      </c>
      <c r="L6" s="6" t="s">
        <v>49</v>
      </c>
      <c r="M6" s="6" t="s">
        <v>50</v>
      </c>
      <c r="N6" s="6" t="s">
        <v>51</v>
      </c>
      <c r="O6" s="2" t="s">
        <v>52</v>
      </c>
    </row>
    <row r="7" spans="1:15" ht="30.75" customHeight="1">
      <c r="A7" s="17" t="s">
        <v>229</v>
      </c>
      <c r="B7" s="12" t="s">
        <v>31</v>
      </c>
      <c r="C7" s="12" t="s">
        <v>56</v>
      </c>
      <c r="D7" s="58" t="s">
        <v>605</v>
      </c>
      <c r="E7" s="12" t="s">
        <v>328</v>
      </c>
      <c r="F7" s="20" t="s">
        <v>230</v>
      </c>
      <c r="G7" s="21">
        <v>46223</v>
      </c>
      <c r="H7" s="21">
        <v>46223</v>
      </c>
      <c r="I7" s="22">
        <v>1</v>
      </c>
      <c r="J7" s="20"/>
      <c r="K7" s="20" t="s">
        <v>54</v>
      </c>
      <c r="L7" s="20" t="s">
        <v>20</v>
      </c>
      <c r="M7" s="23">
        <v>1</v>
      </c>
      <c r="N7" s="12" t="s">
        <v>329</v>
      </c>
      <c r="O7" s="15"/>
    </row>
    <row r="8" spans="1:15" ht="38.1" customHeight="1">
      <c r="A8" s="18" t="s">
        <v>231</v>
      </c>
      <c r="B8" s="13" t="s">
        <v>31</v>
      </c>
      <c r="C8" s="13" t="s">
        <v>57</v>
      </c>
      <c r="D8" s="13" t="s">
        <v>303</v>
      </c>
      <c r="E8" s="13" t="s">
        <v>304</v>
      </c>
      <c r="F8" s="24" t="s">
        <v>232</v>
      </c>
      <c r="G8" s="25">
        <v>46232</v>
      </c>
      <c r="H8" s="25">
        <v>46232</v>
      </c>
      <c r="I8" s="26">
        <v>1</v>
      </c>
      <c r="J8" s="24"/>
      <c r="K8" s="24" t="s">
        <v>54</v>
      </c>
      <c r="L8" s="24" t="s">
        <v>20</v>
      </c>
      <c r="M8" s="27">
        <v>1</v>
      </c>
      <c r="N8" s="13" t="s">
        <v>305</v>
      </c>
      <c r="O8" s="16"/>
    </row>
    <row r="9" spans="1:15" ht="38.1" customHeight="1">
      <c r="A9" s="18" t="s">
        <v>233</v>
      </c>
      <c r="B9" s="13" t="s">
        <v>31</v>
      </c>
      <c r="C9" s="13" t="s">
        <v>59</v>
      </c>
      <c r="D9" s="13" t="s">
        <v>306</v>
      </c>
      <c r="E9" s="13" t="s">
        <v>307</v>
      </c>
      <c r="F9" s="24" t="s">
        <v>230</v>
      </c>
      <c r="G9" s="25">
        <v>46223</v>
      </c>
      <c r="H9" s="25">
        <v>46254</v>
      </c>
      <c r="I9" s="26">
        <v>2</v>
      </c>
      <c r="J9" s="24" t="s">
        <v>231</v>
      </c>
      <c r="K9" s="24" t="s">
        <v>58</v>
      </c>
      <c r="L9" s="24" t="s">
        <v>21</v>
      </c>
      <c r="M9" s="27">
        <v>0.5</v>
      </c>
      <c r="N9" s="13" t="s">
        <v>234</v>
      </c>
      <c r="O9" s="16"/>
    </row>
    <row r="10" spans="1:15" ht="38.1" customHeight="1">
      <c r="A10" s="18" t="s">
        <v>235</v>
      </c>
      <c r="B10" s="13" t="s">
        <v>31</v>
      </c>
      <c r="C10" s="13" t="s">
        <v>236</v>
      </c>
      <c r="D10" s="13" t="s">
        <v>599</v>
      </c>
      <c r="E10" s="13" t="s">
        <v>237</v>
      </c>
      <c r="F10" s="24" t="s">
        <v>230</v>
      </c>
      <c r="G10" s="25">
        <v>46240</v>
      </c>
      <c r="H10" s="25">
        <v>46240</v>
      </c>
      <c r="I10" s="26">
        <v>1</v>
      </c>
      <c r="J10" s="24" t="s">
        <v>229</v>
      </c>
      <c r="K10" s="24" t="s">
        <v>58</v>
      </c>
      <c r="L10" s="24" t="s">
        <v>20</v>
      </c>
      <c r="M10" s="27">
        <v>1</v>
      </c>
      <c r="N10" s="13" t="s">
        <v>238</v>
      </c>
      <c r="O10" s="16"/>
    </row>
    <row r="11" spans="1:15" ht="38.1" customHeight="1">
      <c r="A11" s="18" t="s">
        <v>239</v>
      </c>
      <c r="B11" s="13" t="s">
        <v>31</v>
      </c>
      <c r="C11" s="13" t="s">
        <v>240</v>
      </c>
      <c r="D11" s="13" t="s">
        <v>308</v>
      </c>
      <c r="E11" s="13" t="s">
        <v>241</v>
      </c>
      <c r="F11" s="24" t="s">
        <v>247</v>
      </c>
      <c r="G11" s="25">
        <v>46251</v>
      </c>
      <c r="H11" s="25">
        <v>46251</v>
      </c>
      <c r="I11" s="26">
        <v>1</v>
      </c>
      <c r="J11" s="24" t="s">
        <v>229</v>
      </c>
      <c r="K11" s="24" t="s">
        <v>58</v>
      </c>
      <c r="L11" s="24" t="s">
        <v>22</v>
      </c>
      <c r="M11" s="27">
        <v>0</v>
      </c>
      <c r="N11" s="13" t="s">
        <v>309</v>
      </c>
      <c r="O11" s="16"/>
    </row>
    <row r="12" spans="1:15" ht="38.1" customHeight="1">
      <c r="A12" s="18" t="s">
        <v>242</v>
      </c>
      <c r="B12" s="13" t="s">
        <v>31</v>
      </c>
      <c r="C12" s="13" t="s">
        <v>243</v>
      </c>
      <c r="D12" s="13" t="s">
        <v>310</v>
      </c>
      <c r="E12" s="13" t="s">
        <v>244</v>
      </c>
      <c r="F12" s="24" t="s">
        <v>247</v>
      </c>
      <c r="G12" s="25">
        <v>46251</v>
      </c>
      <c r="H12" s="25">
        <v>46251</v>
      </c>
      <c r="I12" s="26">
        <v>1</v>
      </c>
      <c r="J12" s="24" t="s">
        <v>229</v>
      </c>
      <c r="K12" s="24" t="s">
        <v>58</v>
      </c>
      <c r="L12" s="24" t="s">
        <v>22</v>
      </c>
      <c r="M12" s="27">
        <v>0</v>
      </c>
      <c r="N12" s="13" t="s">
        <v>311</v>
      </c>
      <c r="O12" s="16"/>
    </row>
    <row r="13" spans="1:15" ht="38.1" customHeight="1">
      <c r="A13" s="18" t="s">
        <v>245</v>
      </c>
      <c r="B13" s="13" t="s">
        <v>32</v>
      </c>
      <c r="C13" s="13" t="s">
        <v>60</v>
      </c>
      <c r="D13" s="13" t="s">
        <v>312</v>
      </c>
      <c r="E13" s="13" t="s">
        <v>61</v>
      </c>
      <c r="F13" s="24" t="s">
        <v>232</v>
      </c>
      <c r="G13" s="25">
        <v>46224</v>
      </c>
      <c r="H13" s="25">
        <v>46224</v>
      </c>
      <c r="I13" s="26">
        <v>1</v>
      </c>
      <c r="J13" s="24"/>
      <c r="K13" s="24" t="s">
        <v>54</v>
      </c>
      <c r="L13" s="24" t="s">
        <v>20</v>
      </c>
      <c r="M13" s="27">
        <v>1</v>
      </c>
      <c r="N13" s="13" t="s">
        <v>313</v>
      </c>
      <c r="O13" s="16"/>
    </row>
    <row r="14" spans="1:15" ht="38.1" customHeight="1">
      <c r="A14" s="18" t="s">
        <v>246</v>
      </c>
      <c r="B14" s="13" t="s">
        <v>32</v>
      </c>
      <c r="C14" s="13" t="s">
        <v>63</v>
      </c>
      <c r="D14" s="13" t="s">
        <v>64</v>
      </c>
      <c r="E14" s="13" t="s">
        <v>65</v>
      </c>
      <c r="F14" s="24" t="s">
        <v>247</v>
      </c>
      <c r="G14" s="25">
        <v>46223</v>
      </c>
      <c r="H14" s="25">
        <v>46223</v>
      </c>
      <c r="I14" s="26">
        <v>1</v>
      </c>
      <c r="J14" s="24" t="s">
        <v>245</v>
      </c>
      <c r="K14" s="24" t="s">
        <v>54</v>
      </c>
      <c r="L14" s="24" t="s">
        <v>20</v>
      </c>
      <c r="M14" s="27">
        <v>1</v>
      </c>
      <c r="N14" s="13" t="s">
        <v>67</v>
      </c>
      <c r="O14" s="16"/>
    </row>
    <row r="15" spans="1:15" ht="38.1" customHeight="1">
      <c r="A15" s="18" t="s">
        <v>248</v>
      </c>
      <c r="B15" s="13" t="s">
        <v>32</v>
      </c>
      <c r="C15" s="13" t="s">
        <v>68</v>
      </c>
      <c r="D15" s="59" t="s">
        <v>314</v>
      </c>
      <c r="E15" s="13" t="s">
        <v>606</v>
      </c>
      <c r="F15" s="24" t="s">
        <v>232</v>
      </c>
      <c r="G15" s="25">
        <v>46237</v>
      </c>
      <c r="H15" s="25">
        <v>46238</v>
      </c>
      <c r="I15" s="26">
        <v>2</v>
      </c>
      <c r="J15" s="24" t="s">
        <v>245</v>
      </c>
      <c r="K15" s="24" t="s">
        <v>54</v>
      </c>
      <c r="L15" s="24" t="s">
        <v>20</v>
      </c>
      <c r="M15" s="27">
        <v>1</v>
      </c>
      <c r="N15" s="13" t="s">
        <v>315</v>
      </c>
      <c r="O15" s="16"/>
    </row>
    <row r="16" spans="1:15" ht="38.1" customHeight="1">
      <c r="A16" s="18" t="s">
        <v>249</v>
      </c>
      <c r="B16" s="13" t="s">
        <v>32</v>
      </c>
      <c r="C16" s="13" t="s">
        <v>70</v>
      </c>
      <c r="D16" s="13" t="s">
        <v>71</v>
      </c>
      <c r="E16" s="13" t="s">
        <v>72</v>
      </c>
      <c r="F16" s="24" t="s">
        <v>230</v>
      </c>
      <c r="G16" s="25">
        <v>46241</v>
      </c>
      <c r="H16" s="25">
        <v>46245</v>
      </c>
      <c r="I16" s="26">
        <v>5</v>
      </c>
      <c r="J16" s="24" t="s">
        <v>246</v>
      </c>
      <c r="K16" s="24" t="s">
        <v>54</v>
      </c>
      <c r="L16" s="24" t="s">
        <v>20</v>
      </c>
      <c r="M16" s="27">
        <v>1</v>
      </c>
      <c r="N16" s="13" t="s">
        <v>316</v>
      </c>
      <c r="O16" s="16" t="s">
        <v>317</v>
      </c>
    </row>
    <row r="17" spans="1:15" ht="38.1" customHeight="1">
      <c r="A17" s="18" t="s">
        <v>250</v>
      </c>
      <c r="B17" s="13" t="s">
        <v>32</v>
      </c>
      <c r="C17" s="13" t="s">
        <v>73</v>
      </c>
      <c r="D17" s="13" t="s">
        <v>318</v>
      </c>
      <c r="E17" s="13" t="s">
        <v>251</v>
      </c>
      <c r="F17" s="24" t="s">
        <v>247</v>
      </c>
      <c r="G17" s="25">
        <v>46251</v>
      </c>
      <c r="H17" s="25">
        <v>46251</v>
      </c>
      <c r="I17" s="26">
        <v>1</v>
      </c>
      <c r="J17" s="24" t="s">
        <v>245</v>
      </c>
      <c r="K17" s="24" t="s">
        <v>58</v>
      </c>
      <c r="L17" s="24" t="s">
        <v>22</v>
      </c>
      <c r="M17" s="27">
        <v>0</v>
      </c>
      <c r="N17" s="13" t="s">
        <v>253</v>
      </c>
      <c r="O17" s="16"/>
    </row>
    <row r="18" spans="1:15" ht="38.1" customHeight="1">
      <c r="A18" s="18" t="s">
        <v>254</v>
      </c>
      <c r="B18" s="13" t="s">
        <v>33</v>
      </c>
      <c r="C18" s="13" t="s">
        <v>374</v>
      </c>
      <c r="D18" s="13" t="s">
        <v>375</v>
      </c>
      <c r="E18" s="13" t="s">
        <v>376</v>
      </c>
      <c r="F18" s="24" t="s">
        <v>230</v>
      </c>
      <c r="G18" s="25">
        <v>46239</v>
      </c>
      <c r="H18" s="25">
        <v>46239</v>
      </c>
      <c r="I18" s="26">
        <v>1</v>
      </c>
      <c r="J18" s="24"/>
      <c r="K18" s="24" t="s">
        <v>58</v>
      </c>
      <c r="L18" s="24" t="s">
        <v>20</v>
      </c>
      <c r="M18" s="27">
        <v>1</v>
      </c>
      <c r="N18" s="13" t="s">
        <v>377</v>
      </c>
      <c r="O18" s="16"/>
    </row>
    <row r="19" spans="1:15" ht="38.1" customHeight="1">
      <c r="A19" s="18" t="s">
        <v>256</v>
      </c>
      <c r="B19" s="13" t="s">
        <v>33</v>
      </c>
      <c r="C19" s="13" t="s">
        <v>75</v>
      </c>
      <c r="D19" s="13" t="s">
        <v>330</v>
      </c>
      <c r="E19" s="13" t="s">
        <v>255</v>
      </c>
      <c r="F19" s="24" t="s">
        <v>232</v>
      </c>
      <c r="G19" s="25">
        <v>46223</v>
      </c>
      <c r="H19" s="25">
        <v>46234</v>
      </c>
      <c r="I19" s="26">
        <v>11</v>
      </c>
      <c r="J19" s="24" t="s">
        <v>254</v>
      </c>
      <c r="K19" s="24" t="s">
        <v>54</v>
      </c>
      <c r="L19" s="24" t="s">
        <v>20</v>
      </c>
      <c r="M19" s="27">
        <v>1</v>
      </c>
      <c r="N19" s="13" t="s">
        <v>378</v>
      </c>
      <c r="O19" s="16"/>
    </row>
    <row r="20" spans="1:15" ht="38.1" customHeight="1">
      <c r="A20" s="18" t="s">
        <v>257</v>
      </c>
      <c r="B20" s="13" t="s">
        <v>33</v>
      </c>
      <c r="C20" s="13" t="s">
        <v>379</v>
      </c>
      <c r="D20" s="13" t="s">
        <v>331</v>
      </c>
      <c r="E20" s="13" t="s">
        <v>380</v>
      </c>
      <c r="F20" s="24" t="s">
        <v>247</v>
      </c>
      <c r="G20" s="25">
        <v>46223</v>
      </c>
      <c r="H20" s="25">
        <v>46225</v>
      </c>
      <c r="I20" s="26">
        <v>3</v>
      </c>
      <c r="J20" s="24" t="s">
        <v>256</v>
      </c>
      <c r="K20" s="24" t="s">
        <v>54</v>
      </c>
      <c r="L20" s="24" t="s">
        <v>20</v>
      </c>
      <c r="M20" s="27">
        <v>1</v>
      </c>
      <c r="N20" s="13" t="s">
        <v>381</v>
      </c>
      <c r="O20" s="16"/>
    </row>
    <row r="21" spans="1:15" ht="38.1" customHeight="1">
      <c r="A21" s="18" t="s">
        <v>258</v>
      </c>
      <c r="B21" s="13" t="s">
        <v>33</v>
      </c>
      <c r="C21" s="13" t="s">
        <v>80</v>
      </c>
      <c r="D21" s="13" t="s">
        <v>332</v>
      </c>
      <c r="E21" s="13" t="s">
        <v>382</v>
      </c>
      <c r="F21" s="24" t="s">
        <v>230</v>
      </c>
      <c r="G21" s="25">
        <v>46229</v>
      </c>
      <c r="H21" s="25">
        <v>46232</v>
      </c>
      <c r="I21" s="26">
        <v>3</v>
      </c>
      <c r="J21" s="24" t="s">
        <v>257</v>
      </c>
      <c r="K21" s="24" t="s">
        <v>54</v>
      </c>
      <c r="L21" s="24" t="s">
        <v>20</v>
      </c>
      <c r="M21" s="27">
        <v>1</v>
      </c>
      <c r="N21" s="13" t="s">
        <v>320</v>
      </c>
      <c r="O21" s="16"/>
    </row>
    <row r="22" spans="1:15" ht="38.1" customHeight="1">
      <c r="A22" s="18" t="s">
        <v>259</v>
      </c>
      <c r="B22" s="13" t="s">
        <v>33</v>
      </c>
      <c r="C22" s="13" t="s">
        <v>383</v>
      </c>
      <c r="D22" s="13" t="s">
        <v>333</v>
      </c>
      <c r="E22" s="13" t="s">
        <v>384</v>
      </c>
      <c r="F22" s="24" t="s">
        <v>247</v>
      </c>
      <c r="G22" s="25">
        <v>46230</v>
      </c>
      <c r="H22" s="25">
        <v>46238</v>
      </c>
      <c r="I22" s="26">
        <v>9</v>
      </c>
      <c r="J22" s="24" t="s">
        <v>258</v>
      </c>
      <c r="K22" s="24" t="s">
        <v>54</v>
      </c>
      <c r="L22" s="24" t="s">
        <v>20</v>
      </c>
      <c r="M22" s="27">
        <v>1</v>
      </c>
      <c r="N22" s="13" t="s">
        <v>385</v>
      </c>
      <c r="O22" s="16"/>
    </row>
    <row r="23" spans="1:15" ht="38.1" customHeight="1">
      <c r="A23" s="18" t="s">
        <v>260</v>
      </c>
      <c r="B23" s="13" t="s">
        <v>33</v>
      </c>
      <c r="C23" s="13" t="s">
        <v>274</v>
      </c>
      <c r="D23" s="13" t="s">
        <v>319</v>
      </c>
      <c r="E23" s="13" t="s">
        <v>78</v>
      </c>
      <c r="F23" s="24" t="s">
        <v>247</v>
      </c>
      <c r="G23" s="25">
        <v>46230</v>
      </c>
      <c r="H23" s="25">
        <v>46238</v>
      </c>
      <c r="I23" s="26">
        <v>9</v>
      </c>
      <c r="J23" s="24" t="s">
        <v>259</v>
      </c>
      <c r="K23" s="24" t="s">
        <v>54</v>
      </c>
      <c r="L23" s="24" t="s">
        <v>20</v>
      </c>
      <c r="M23" s="27">
        <v>1</v>
      </c>
      <c r="N23" s="13" t="s">
        <v>79</v>
      </c>
      <c r="O23" s="16"/>
    </row>
    <row r="24" spans="1:15" ht="38.1" customHeight="1">
      <c r="A24" s="18" t="s">
        <v>262</v>
      </c>
      <c r="B24" s="13" t="s">
        <v>33</v>
      </c>
      <c r="C24" s="13" t="s">
        <v>386</v>
      </c>
      <c r="D24" s="13" t="s">
        <v>334</v>
      </c>
      <c r="E24" s="13" t="s">
        <v>387</v>
      </c>
      <c r="F24" s="24" t="s">
        <v>232</v>
      </c>
      <c r="G24" s="25">
        <v>46239</v>
      </c>
      <c r="H24" s="25">
        <v>46244</v>
      </c>
      <c r="I24" s="26">
        <v>6</v>
      </c>
      <c r="J24" s="24" t="s">
        <v>260</v>
      </c>
      <c r="K24" s="24" t="s">
        <v>54</v>
      </c>
      <c r="L24" s="24" t="s">
        <v>20</v>
      </c>
      <c r="M24" s="27">
        <v>1</v>
      </c>
      <c r="N24" s="13" t="s">
        <v>388</v>
      </c>
      <c r="O24" s="16"/>
    </row>
    <row r="25" spans="1:15" ht="38.1" customHeight="1">
      <c r="A25" s="18" t="s">
        <v>263</v>
      </c>
      <c r="B25" s="13" t="s">
        <v>33</v>
      </c>
      <c r="C25" s="13" t="s">
        <v>389</v>
      </c>
      <c r="D25" s="13" t="s">
        <v>335</v>
      </c>
      <c r="E25" s="13" t="s">
        <v>390</v>
      </c>
      <c r="F25" s="24" t="s">
        <v>232</v>
      </c>
      <c r="G25" s="25">
        <v>46239</v>
      </c>
      <c r="H25" s="25">
        <v>46243</v>
      </c>
      <c r="I25" s="26">
        <v>5</v>
      </c>
      <c r="J25" s="24" t="s">
        <v>260</v>
      </c>
      <c r="K25" s="24" t="s">
        <v>54</v>
      </c>
      <c r="L25" s="24" t="s">
        <v>20</v>
      </c>
      <c r="M25" s="27">
        <v>1</v>
      </c>
      <c r="N25" s="13" t="s">
        <v>391</v>
      </c>
      <c r="O25" s="16"/>
    </row>
    <row r="26" spans="1:15" ht="38.1" customHeight="1">
      <c r="A26" s="18" t="s">
        <v>336</v>
      </c>
      <c r="B26" s="13" t="s">
        <v>33</v>
      </c>
      <c r="C26" s="13" t="s">
        <v>281</v>
      </c>
      <c r="D26" s="13" t="s">
        <v>337</v>
      </c>
      <c r="E26" s="13" t="s">
        <v>392</v>
      </c>
      <c r="F26" s="24" t="s">
        <v>247</v>
      </c>
      <c r="G26" s="25">
        <v>46230</v>
      </c>
      <c r="H26" s="25">
        <v>46232</v>
      </c>
      <c r="I26" s="26">
        <v>3</v>
      </c>
      <c r="J26" s="24" t="s">
        <v>260</v>
      </c>
      <c r="K26" s="24" t="s">
        <v>54</v>
      </c>
      <c r="L26" s="24" t="s">
        <v>20</v>
      </c>
      <c r="M26" s="27">
        <v>1</v>
      </c>
      <c r="N26" s="13" t="s">
        <v>393</v>
      </c>
      <c r="O26" s="16"/>
    </row>
    <row r="27" spans="1:15" ht="38.1" customHeight="1">
      <c r="A27" s="18" t="s">
        <v>338</v>
      </c>
      <c r="B27" s="13" t="s">
        <v>33</v>
      </c>
      <c r="C27" s="13" t="s">
        <v>283</v>
      </c>
      <c r="D27" s="13" t="s">
        <v>339</v>
      </c>
      <c r="E27" s="13" t="s">
        <v>394</v>
      </c>
      <c r="F27" s="24" t="s">
        <v>247</v>
      </c>
      <c r="G27" s="25">
        <v>46230</v>
      </c>
      <c r="H27" s="25">
        <v>46232</v>
      </c>
      <c r="I27" s="26">
        <v>3</v>
      </c>
      <c r="J27" s="24" t="s">
        <v>336</v>
      </c>
      <c r="K27" s="24" t="s">
        <v>54</v>
      </c>
      <c r="L27" s="24" t="s">
        <v>20</v>
      </c>
      <c r="M27" s="27">
        <v>1</v>
      </c>
      <c r="N27" s="13" t="s">
        <v>395</v>
      </c>
      <c r="O27" s="16"/>
    </row>
    <row r="28" spans="1:15" ht="37.5" customHeight="1">
      <c r="A28" s="18" t="s">
        <v>340</v>
      </c>
      <c r="B28" s="13" t="s">
        <v>33</v>
      </c>
      <c r="C28" s="13" t="s">
        <v>192</v>
      </c>
      <c r="D28" s="13" t="s">
        <v>341</v>
      </c>
      <c r="E28" s="13" t="s">
        <v>396</v>
      </c>
      <c r="F28" s="24" t="s">
        <v>232</v>
      </c>
      <c r="G28" s="25">
        <v>46230</v>
      </c>
      <c r="H28" s="25">
        <v>46233</v>
      </c>
      <c r="I28" s="26">
        <v>4</v>
      </c>
      <c r="J28" s="24" t="s">
        <v>260</v>
      </c>
      <c r="K28" s="24" t="s">
        <v>54</v>
      </c>
      <c r="L28" s="24" t="s">
        <v>20</v>
      </c>
      <c r="M28" s="27">
        <v>1</v>
      </c>
      <c r="N28" s="13" t="s">
        <v>397</v>
      </c>
      <c r="O28" s="16"/>
    </row>
    <row r="29" spans="1:15" ht="38.1" customHeight="1">
      <c r="A29" s="18" t="s">
        <v>342</v>
      </c>
      <c r="B29" s="13" t="s">
        <v>33</v>
      </c>
      <c r="C29" s="60" t="s">
        <v>601</v>
      </c>
      <c r="D29" s="59" t="s">
        <v>600</v>
      </c>
      <c r="E29" s="61" t="s">
        <v>602</v>
      </c>
      <c r="F29" s="24" t="s">
        <v>247</v>
      </c>
      <c r="G29" s="25">
        <v>46244</v>
      </c>
      <c r="H29" s="25">
        <v>46245</v>
      </c>
      <c r="I29" s="26">
        <v>2</v>
      </c>
      <c r="J29" s="24" t="s">
        <v>260</v>
      </c>
      <c r="K29" s="24" t="s">
        <v>54</v>
      </c>
      <c r="L29" s="24" t="s">
        <v>20</v>
      </c>
      <c r="M29" s="27">
        <v>1</v>
      </c>
      <c r="N29" s="13" t="s">
        <v>82</v>
      </c>
      <c r="O29" s="16"/>
    </row>
    <row r="30" spans="1:15" ht="38.1" customHeight="1">
      <c r="A30" s="18" t="s">
        <v>343</v>
      </c>
      <c r="B30" s="13" t="s">
        <v>33</v>
      </c>
      <c r="C30" s="13" t="s">
        <v>83</v>
      </c>
      <c r="D30" s="13" t="s">
        <v>321</v>
      </c>
      <c r="E30" s="13" t="s">
        <v>84</v>
      </c>
      <c r="F30" s="24" t="s">
        <v>247</v>
      </c>
      <c r="G30" s="25">
        <v>46244</v>
      </c>
      <c r="H30" s="25">
        <v>46245</v>
      </c>
      <c r="I30" s="26">
        <v>2</v>
      </c>
      <c r="J30" s="24" t="s">
        <v>342</v>
      </c>
      <c r="K30" s="24" t="s">
        <v>54</v>
      </c>
      <c r="L30" s="24" t="s">
        <v>20</v>
      </c>
      <c r="M30" s="27">
        <v>1</v>
      </c>
      <c r="N30" s="13" t="s">
        <v>322</v>
      </c>
      <c r="O30" s="16"/>
    </row>
    <row r="31" spans="1:15" ht="38.1" customHeight="1">
      <c r="A31" s="18" t="s">
        <v>264</v>
      </c>
      <c r="B31" s="13" t="s">
        <v>34</v>
      </c>
      <c r="C31" s="13" t="s">
        <v>398</v>
      </c>
      <c r="D31" s="13" t="s">
        <v>344</v>
      </c>
      <c r="E31" s="13" t="s">
        <v>344</v>
      </c>
      <c r="F31" s="24" t="s">
        <v>232</v>
      </c>
      <c r="G31" s="25">
        <v>46237</v>
      </c>
      <c r="H31" s="25">
        <v>46238</v>
      </c>
      <c r="I31" s="26">
        <v>2</v>
      </c>
      <c r="J31" s="24" t="s">
        <v>248</v>
      </c>
      <c r="K31" s="24" t="s">
        <v>54</v>
      </c>
      <c r="L31" s="24" t="s">
        <v>20</v>
      </c>
      <c r="M31" s="27">
        <v>1</v>
      </c>
      <c r="N31" s="13" t="s">
        <v>399</v>
      </c>
      <c r="O31" s="16"/>
    </row>
    <row r="32" spans="1:15" ht="38.1" customHeight="1">
      <c r="A32" s="18" t="s">
        <v>265</v>
      </c>
      <c r="B32" s="13" t="s">
        <v>34</v>
      </c>
      <c r="C32" s="13" t="s">
        <v>400</v>
      </c>
      <c r="D32" s="13" t="s">
        <v>345</v>
      </c>
      <c r="E32" s="13" t="s">
        <v>401</v>
      </c>
      <c r="F32" s="24" t="s">
        <v>232</v>
      </c>
      <c r="G32" s="25">
        <v>46237</v>
      </c>
      <c r="H32" s="25">
        <v>46238</v>
      </c>
      <c r="I32" s="26">
        <v>2</v>
      </c>
      <c r="J32" s="24" t="s">
        <v>264</v>
      </c>
      <c r="K32" s="24" t="s">
        <v>54</v>
      </c>
      <c r="L32" s="24" t="s">
        <v>20</v>
      </c>
      <c r="M32" s="27">
        <v>1</v>
      </c>
      <c r="N32" s="13" t="s">
        <v>402</v>
      </c>
      <c r="O32" s="16"/>
    </row>
    <row r="33" spans="1:15" ht="38.1" customHeight="1">
      <c r="A33" s="18" t="s">
        <v>266</v>
      </c>
      <c r="B33" s="13" t="s">
        <v>34</v>
      </c>
      <c r="C33" s="13" t="s">
        <v>403</v>
      </c>
      <c r="D33" s="13" t="s">
        <v>404</v>
      </c>
      <c r="E33" s="13" t="s">
        <v>405</v>
      </c>
      <c r="F33" s="24" t="s">
        <v>247</v>
      </c>
      <c r="G33" s="25">
        <v>46231</v>
      </c>
      <c r="H33" s="25">
        <v>46232</v>
      </c>
      <c r="I33" s="26">
        <v>2</v>
      </c>
      <c r="J33" s="24" t="s">
        <v>264</v>
      </c>
      <c r="K33" s="24" t="s">
        <v>58</v>
      </c>
      <c r="L33" s="24" t="s">
        <v>20</v>
      </c>
      <c r="M33" s="27">
        <v>1</v>
      </c>
      <c r="N33" s="13" t="s">
        <v>402</v>
      </c>
      <c r="O33" s="16"/>
    </row>
    <row r="34" spans="1:15" ht="38.1" customHeight="1">
      <c r="A34" s="18" t="s">
        <v>267</v>
      </c>
      <c r="B34" s="13" t="s">
        <v>34</v>
      </c>
      <c r="C34" s="13" t="s">
        <v>406</v>
      </c>
      <c r="D34" s="13" t="s">
        <v>346</v>
      </c>
      <c r="E34" s="13" t="s">
        <v>407</v>
      </c>
      <c r="F34" s="24" t="s">
        <v>247</v>
      </c>
      <c r="G34" s="25">
        <v>46241</v>
      </c>
      <c r="H34" s="25">
        <v>46242</v>
      </c>
      <c r="I34" s="26">
        <v>2</v>
      </c>
      <c r="J34" s="24" t="s">
        <v>264</v>
      </c>
      <c r="K34" s="24" t="s">
        <v>54</v>
      </c>
      <c r="L34" s="24" t="s">
        <v>20</v>
      </c>
      <c r="M34" s="27">
        <v>1</v>
      </c>
      <c r="N34" s="13" t="s">
        <v>402</v>
      </c>
      <c r="O34" s="16"/>
    </row>
    <row r="35" spans="1:15" ht="38.1" customHeight="1">
      <c r="A35" s="18" t="s">
        <v>268</v>
      </c>
      <c r="B35" s="13" t="s">
        <v>34</v>
      </c>
      <c r="C35" s="13" t="s">
        <v>85</v>
      </c>
      <c r="D35" s="13" t="s">
        <v>347</v>
      </c>
      <c r="E35" s="13" t="s">
        <v>408</v>
      </c>
      <c r="F35" s="24" t="s">
        <v>230</v>
      </c>
      <c r="G35" s="25">
        <v>46225</v>
      </c>
      <c r="H35" s="25">
        <v>46226</v>
      </c>
      <c r="I35" s="26">
        <v>2</v>
      </c>
      <c r="J35" s="24" t="s">
        <v>248</v>
      </c>
      <c r="K35" s="24" t="s">
        <v>54</v>
      </c>
      <c r="L35" s="24" t="s">
        <v>20</v>
      </c>
      <c r="M35" s="27">
        <v>1</v>
      </c>
      <c r="N35" s="13" t="s">
        <v>409</v>
      </c>
      <c r="O35" s="16"/>
    </row>
    <row r="36" spans="1:15" ht="38.1" customHeight="1">
      <c r="A36" s="18" t="s">
        <v>269</v>
      </c>
      <c r="B36" s="13" t="s">
        <v>34</v>
      </c>
      <c r="C36" s="13" t="s">
        <v>70</v>
      </c>
      <c r="D36" s="13" t="s">
        <v>348</v>
      </c>
      <c r="E36" s="13" t="s">
        <v>410</v>
      </c>
      <c r="F36" s="24" t="s">
        <v>232</v>
      </c>
      <c r="G36" s="25">
        <v>46232</v>
      </c>
      <c r="H36" s="25">
        <v>46233</v>
      </c>
      <c r="I36" s="26">
        <v>2</v>
      </c>
      <c r="J36" s="24" t="s">
        <v>268</v>
      </c>
      <c r="K36" s="24" t="s">
        <v>54</v>
      </c>
      <c r="L36" s="24" t="s">
        <v>20</v>
      </c>
      <c r="M36" s="27">
        <v>1</v>
      </c>
      <c r="N36" s="13" t="s">
        <v>411</v>
      </c>
      <c r="O36" s="16"/>
    </row>
    <row r="37" spans="1:15" ht="38.1" customHeight="1">
      <c r="A37" s="18" t="s">
        <v>270</v>
      </c>
      <c r="B37" s="13" t="s">
        <v>34</v>
      </c>
      <c r="C37" s="13" t="s">
        <v>412</v>
      </c>
      <c r="D37" s="13" t="s">
        <v>349</v>
      </c>
      <c r="E37" s="13" t="s">
        <v>413</v>
      </c>
      <c r="F37" s="24" t="s">
        <v>247</v>
      </c>
      <c r="G37" s="25">
        <v>46230</v>
      </c>
      <c r="H37" s="25">
        <v>46232</v>
      </c>
      <c r="I37" s="26">
        <v>3</v>
      </c>
      <c r="J37" s="24" t="s">
        <v>268</v>
      </c>
      <c r="K37" s="24" t="s">
        <v>54</v>
      </c>
      <c r="L37" s="24" t="s">
        <v>20</v>
      </c>
      <c r="M37" s="27">
        <v>1</v>
      </c>
      <c r="N37" s="13" t="s">
        <v>414</v>
      </c>
      <c r="O37" s="16"/>
    </row>
    <row r="38" spans="1:15" ht="38.1" customHeight="1">
      <c r="A38" s="18" t="s">
        <v>350</v>
      </c>
      <c r="B38" s="13" t="s">
        <v>34</v>
      </c>
      <c r="C38" s="13" t="s">
        <v>415</v>
      </c>
      <c r="D38" s="13" t="s">
        <v>141</v>
      </c>
      <c r="E38" s="13" t="s">
        <v>416</v>
      </c>
      <c r="F38" s="24" t="s">
        <v>232</v>
      </c>
      <c r="G38" s="25">
        <v>46230</v>
      </c>
      <c r="H38" s="25">
        <v>46233</v>
      </c>
      <c r="I38" s="26">
        <v>4</v>
      </c>
      <c r="J38" s="24" t="s">
        <v>269</v>
      </c>
      <c r="K38" s="24" t="s">
        <v>54</v>
      </c>
      <c r="L38" s="24" t="s">
        <v>20</v>
      </c>
      <c r="M38" s="27">
        <v>1</v>
      </c>
      <c r="N38" s="13" t="s">
        <v>417</v>
      </c>
      <c r="O38" s="16"/>
    </row>
    <row r="39" spans="1:15" ht="38.1" customHeight="1">
      <c r="A39" s="18" t="s">
        <v>351</v>
      </c>
      <c r="B39" s="13" t="s">
        <v>34</v>
      </c>
      <c r="C39" s="13" t="s">
        <v>418</v>
      </c>
      <c r="D39" s="13" t="s">
        <v>352</v>
      </c>
      <c r="E39" s="13" t="s">
        <v>419</v>
      </c>
      <c r="F39" s="24" t="s">
        <v>232</v>
      </c>
      <c r="G39" s="25">
        <v>46230</v>
      </c>
      <c r="H39" s="25">
        <v>46233</v>
      </c>
      <c r="I39" s="26">
        <v>4</v>
      </c>
      <c r="J39" s="24" t="s">
        <v>350</v>
      </c>
      <c r="K39" s="24" t="s">
        <v>54</v>
      </c>
      <c r="L39" s="24" t="s">
        <v>20</v>
      </c>
      <c r="M39" s="27">
        <v>1</v>
      </c>
      <c r="N39" s="13" t="s">
        <v>420</v>
      </c>
      <c r="O39" s="16"/>
    </row>
    <row r="40" spans="1:15" ht="38.1" customHeight="1">
      <c r="A40" s="18" t="s">
        <v>421</v>
      </c>
      <c r="B40" s="13" t="s">
        <v>34</v>
      </c>
      <c r="C40" s="13" t="s">
        <v>422</v>
      </c>
      <c r="D40" s="13" t="s">
        <v>423</v>
      </c>
      <c r="E40" s="13" t="s">
        <v>424</v>
      </c>
      <c r="F40" s="24" t="s">
        <v>232</v>
      </c>
      <c r="G40" s="25">
        <v>46237</v>
      </c>
      <c r="H40" s="25">
        <v>46237</v>
      </c>
      <c r="I40" s="26">
        <v>2</v>
      </c>
      <c r="J40" s="24" t="s">
        <v>264</v>
      </c>
      <c r="K40" s="24" t="s">
        <v>58</v>
      </c>
      <c r="L40" s="24" t="s">
        <v>20</v>
      </c>
      <c r="M40" s="27">
        <v>1</v>
      </c>
      <c r="N40" s="13" t="s">
        <v>425</v>
      </c>
      <c r="O40" s="16"/>
    </row>
    <row r="41" spans="1:15" ht="38.1" customHeight="1">
      <c r="A41" s="18" t="s">
        <v>426</v>
      </c>
      <c r="B41" s="13" t="s">
        <v>34</v>
      </c>
      <c r="C41" s="13" t="s">
        <v>427</v>
      </c>
      <c r="D41" s="13" t="s">
        <v>428</v>
      </c>
      <c r="E41" s="13" t="s">
        <v>429</v>
      </c>
      <c r="F41" s="24" t="s">
        <v>247</v>
      </c>
      <c r="G41" s="25">
        <v>46237</v>
      </c>
      <c r="H41" s="25">
        <v>46238</v>
      </c>
      <c r="I41" s="26">
        <v>2</v>
      </c>
      <c r="J41" s="24" t="s">
        <v>266</v>
      </c>
      <c r="K41" s="24" t="s">
        <v>58</v>
      </c>
      <c r="L41" s="24" t="s">
        <v>20</v>
      </c>
      <c r="M41" s="27">
        <v>1</v>
      </c>
      <c r="N41" s="13" t="s">
        <v>430</v>
      </c>
      <c r="O41" s="16"/>
    </row>
    <row r="42" spans="1:15" ht="38.1" customHeight="1">
      <c r="A42" s="18" t="s">
        <v>353</v>
      </c>
      <c r="B42" s="13" t="s">
        <v>34</v>
      </c>
      <c r="C42" s="13" t="s">
        <v>90</v>
      </c>
      <c r="D42" s="13" t="s">
        <v>147</v>
      </c>
      <c r="E42" s="13" t="s">
        <v>91</v>
      </c>
      <c r="F42" s="24" t="s">
        <v>247</v>
      </c>
      <c r="G42" s="25">
        <v>46239</v>
      </c>
      <c r="H42" s="25">
        <v>46247</v>
      </c>
      <c r="I42" s="26">
        <v>9</v>
      </c>
      <c r="J42" s="24" t="s">
        <v>264</v>
      </c>
      <c r="K42" s="24" t="s">
        <v>54</v>
      </c>
      <c r="L42" s="24" t="s">
        <v>21</v>
      </c>
      <c r="M42" s="27">
        <v>0.5</v>
      </c>
      <c r="N42" s="13" t="s">
        <v>431</v>
      </c>
      <c r="O42" s="16"/>
    </row>
    <row r="43" spans="1:15" ht="38.1" customHeight="1">
      <c r="A43" s="18" t="s">
        <v>271</v>
      </c>
      <c r="B43" s="13" t="s">
        <v>35</v>
      </c>
      <c r="C43" s="13" t="s">
        <v>432</v>
      </c>
      <c r="D43" s="13" t="s">
        <v>354</v>
      </c>
      <c r="E43" s="13" t="s">
        <v>433</v>
      </c>
      <c r="F43" s="24" t="s">
        <v>230</v>
      </c>
      <c r="G43" s="25">
        <v>46230</v>
      </c>
      <c r="H43" s="25">
        <v>46239</v>
      </c>
      <c r="I43" s="26">
        <v>11</v>
      </c>
      <c r="J43" s="24" t="s">
        <v>260</v>
      </c>
      <c r="K43" s="24" t="s">
        <v>54</v>
      </c>
      <c r="L43" s="24" t="s">
        <v>20</v>
      </c>
      <c r="M43" s="27">
        <v>1</v>
      </c>
      <c r="N43" s="13" t="s">
        <v>434</v>
      </c>
      <c r="O43" s="16"/>
    </row>
    <row r="44" spans="1:15" ht="38.1" customHeight="1">
      <c r="A44" s="18" t="s">
        <v>272</v>
      </c>
      <c r="B44" s="13" t="s">
        <v>35</v>
      </c>
      <c r="C44" s="13" t="s">
        <v>435</v>
      </c>
      <c r="D44" s="13" t="s">
        <v>436</v>
      </c>
      <c r="E44" s="13" t="s">
        <v>437</v>
      </c>
      <c r="F44" s="24" t="s">
        <v>247</v>
      </c>
      <c r="G44" s="25">
        <v>46230</v>
      </c>
      <c r="H44" s="25">
        <v>46232</v>
      </c>
      <c r="I44" s="26">
        <v>3</v>
      </c>
      <c r="J44" s="24" t="s">
        <v>271</v>
      </c>
      <c r="K44" s="24" t="s">
        <v>58</v>
      </c>
      <c r="L44" s="24" t="s">
        <v>20</v>
      </c>
      <c r="M44" s="27">
        <v>1</v>
      </c>
      <c r="N44" s="13" t="s">
        <v>438</v>
      </c>
      <c r="O44" s="16"/>
    </row>
    <row r="45" spans="1:15" ht="38.1" customHeight="1">
      <c r="A45" s="18" t="s">
        <v>273</v>
      </c>
      <c r="B45" s="13" t="s">
        <v>35</v>
      </c>
      <c r="C45" s="13" t="s">
        <v>439</v>
      </c>
      <c r="D45" s="13" t="s">
        <v>355</v>
      </c>
      <c r="E45" s="13" t="s">
        <v>440</v>
      </c>
      <c r="F45" s="24" t="s">
        <v>232</v>
      </c>
      <c r="G45" s="25">
        <v>46244</v>
      </c>
      <c r="H45" s="25">
        <v>46245</v>
      </c>
      <c r="I45" s="26">
        <v>2</v>
      </c>
      <c r="J45" s="24" t="s">
        <v>262</v>
      </c>
      <c r="K45" s="24" t="s">
        <v>54</v>
      </c>
      <c r="L45" s="24" t="s">
        <v>20</v>
      </c>
      <c r="M45" s="27">
        <v>1</v>
      </c>
      <c r="N45" s="59" t="s">
        <v>609</v>
      </c>
      <c r="O45" s="16"/>
    </row>
    <row r="46" spans="1:15" ht="38.1" customHeight="1">
      <c r="A46" s="18" t="s">
        <v>275</v>
      </c>
      <c r="B46" s="13" t="s">
        <v>35</v>
      </c>
      <c r="C46" s="13" t="s">
        <v>441</v>
      </c>
      <c r="D46" s="13" t="s">
        <v>356</v>
      </c>
      <c r="E46" s="13" t="s">
        <v>442</v>
      </c>
      <c r="F46" s="24" t="s">
        <v>232</v>
      </c>
      <c r="G46" s="25">
        <v>46245</v>
      </c>
      <c r="H46" s="25">
        <v>46246</v>
      </c>
      <c r="I46" s="26">
        <v>2</v>
      </c>
      <c r="J46" s="24" t="s">
        <v>263</v>
      </c>
      <c r="K46" s="24" t="s">
        <v>54</v>
      </c>
      <c r="L46" s="24" t="s">
        <v>20</v>
      </c>
      <c r="M46" s="27">
        <v>1</v>
      </c>
      <c r="N46" s="13" t="s">
        <v>610</v>
      </c>
      <c r="O46" s="16"/>
    </row>
    <row r="47" spans="1:15" ht="38.1" customHeight="1">
      <c r="A47" s="18" t="s">
        <v>276</v>
      </c>
      <c r="B47" s="13" t="s">
        <v>35</v>
      </c>
      <c r="C47" s="13" t="s">
        <v>443</v>
      </c>
      <c r="D47" s="13" t="s">
        <v>357</v>
      </c>
      <c r="E47" s="13" t="s">
        <v>444</v>
      </c>
      <c r="F47" s="24" t="s">
        <v>247</v>
      </c>
      <c r="G47" s="25">
        <v>46230</v>
      </c>
      <c r="H47" s="25">
        <v>46232</v>
      </c>
      <c r="I47" s="26">
        <v>3</v>
      </c>
      <c r="J47" s="24" t="s">
        <v>336</v>
      </c>
      <c r="K47" s="24" t="s">
        <v>54</v>
      </c>
      <c r="L47" s="24" t="s">
        <v>20</v>
      </c>
      <c r="M47" s="27">
        <v>1</v>
      </c>
      <c r="N47" s="13" t="s">
        <v>445</v>
      </c>
      <c r="O47" s="16"/>
    </row>
    <row r="48" spans="1:15" ht="38.1" customHeight="1">
      <c r="A48" s="18" t="s">
        <v>358</v>
      </c>
      <c r="B48" s="13" t="s">
        <v>35</v>
      </c>
      <c r="C48" s="13" t="s">
        <v>446</v>
      </c>
      <c r="D48" s="13" t="s">
        <v>359</v>
      </c>
      <c r="E48" s="13" t="s">
        <v>447</v>
      </c>
      <c r="F48" s="56" t="s">
        <v>247</v>
      </c>
      <c r="G48" s="25">
        <v>46230</v>
      </c>
      <c r="H48" s="25">
        <v>46232</v>
      </c>
      <c r="I48" s="26">
        <v>3</v>
      </c>
      <c r="J48" s="24" t="s">
        <v>338</v>
      </c>
      <c r="K48" s="24" t="s">
        <v>54</v>
      </c>
      <c r="L48" s="24" t="s">
        <v>20</v>
      </c>
      <c r="M48" s="27">
        <v>1</v>
      </c>
      <c r="N48" s="13" t="s">
        <v>448</v>
      </c>
      <c r="O48" s="16"/>
    </row>
    <row r="49" spans="1:15" ht="38.1" customHeight="1">
      <c r="A49" s="18" t="s">
        <v>360</v>
      </c>
      <c r="B49" s="13" t="s">
        <v>35</v>
      </c>
      <c r="C49" s="13" t="s">
        <v>449</v>
      </c>
      <c r="D49" s="13" t="s">
        <v>361</v>
      </c>
      <c r="E49" s="13" t="s">
        <v>450</v>
      </c>
      <c r="F49" s="24" t="s">
        <v>232</v>
      </c>
      <c r="G49" s="25">
        <v>46230</v>
      </c>
      <c r="H49" s="25">
        <v>46233</v>
      </c>
      <c r="I49" s="26">
        <v>4</v>
      </c>
      <c r="J49" s="24" t="s">
        <v>340</v>
      </c>
      <c r="K49" s="24" t="s">
        <v>54</v>
      </c>
      <c r="L49" s="24" t="s">
        <v>20</v>
      </c>
      <c r="M49" s="27">
        <v>1</v>
      </c>
      <c r="N49" s="13" t="s">
        <v>451</v>
      </c>
      <c r="O49" s="16"/>
    </row>
    <row r="50" spans="1:15" ht="38.1" customHeight="1">
      <c r="A50" s="18" t="s">
        <v>362</v>
      </c>
      <c r="B50" s="13" t="s">
        <v>35</v>
      </c>
      <c r="C50" s="13" t="s">
        <v>452</v>
      </c>
      <c r="D50" s="13" t="s">
        <v>363</v>
      </c>
      <c r="E50" s="13" t="s">
        <v>453</v>
      </c>
      <c r="F50" s="24" t="s">
        <v>247</v>
      </c>
      <c r="G50" s="25" t="s">
        <v>603</v>
      </c>
      <c r="H50" s="25" t="s">
        <v>603</v>
      </c>
      <c r="I50" s="26">
        <v>3</v>
      </c>
      <c r="J50" s="24" t="s">
        <v>271</v>
      </c>
      <c r="K50" s="24" t="s">
        <v>54</v>
      </c>
      <c r="L50" s="24" t="s">
        <v>603</v>
      </c>
      <c r="M50" s="27">
        <v>1</v>
      </c>
      <c r="N50" s="13" t="s">
        <v>454</v>
      </c>
      <c r="O50" s="16"/>
    </row>
    <row r="51" spans="1:15" ht="38.1" customHeight="1">
      <c r="A51" s="18" t="s">
        <v>455</v>
      </c>
      <c r="B51" s="13" t="s">
        <v>35</v>
      </c>
      <c r="C51" s="13" t="s">
        <v>456</v>
      </c>
      <c r="D51" s="13" t="s">
        <v>457</v>
      </c>
      <c r="E51" s="13" t="s">
        <v>458</v>
      </c>
      <c r="F51" s="56" t="s">
        <v>247</v>
      </c>
      <c r="G51" s="25" t="s">
        <v>603</v>
      </c>
      <c r="H51" s="25" t="s">
        <v>603</v>
      </c>
      <c r="I51" s="26">
        <v>2</v>
      </c>
      <c r="J51" s="24" t="s">
        <v>360</v>
      </c>
      <c r="K51" s="24" t="s">
        <v>58</v>
      </c>
      <c r="L51" s="24" t="s">
        <v>603</v>
      </c>
      <c r="M51" s="27">
        <v>1</v>
      </c>
      <c r="N51" s="13" t="s">
        <v>459</v>
      </c>
      <c r="O51" s="16"/>
    </row>
    <row r="52" spans="1:15" ht="38.1" customHeight="1">
      <c r="A52" s="18" t="s">
        <v>460</v>
      </c>
      <c r="B52" s="13" t="s">
        <v>35</v>
      </c>
      <c r="C52" s="13" t="s">
        <v>461</v>
      </c>
      <c r="D52" s="13" t="s">
        <v>462</v>
      </c>
      <c r="E52" s="13" t="s">
        <v>463</v>
      </c>
      <c r="F52" s="56" t="s">
        <v>247</v>
      </c>
      <c r="G52" s="25">
        <v>46244</v>
      </c>
      <c r="H52" s="25">
        <v>46244</v>
      </c>
      <c r="I52" s="26">
        <v>1</v>
      </c>
      <c r="J52" s="24" t="s">
        <v>271</v>
      </c>
      <c r="K52" s="24" t="s">
        <v>58</v>
      </c>
      <c r="L52" s="24" t="s">
        <v>20</v>
      </c>
      <c r="M52" s="27">
        <v>1</v>
      </c>
      <c r="N52" s="13" t="s">
        <v>464</v>
      </c>
      <c r="O52" s="16"/>
    </row>
    <row r="53" spans="1:15" ht="38.1" customHeight="1">
      <c r="A53" s="18" t="s">
        <v>277</v>
      </c>
      <c r="B53" s="13" t="s">
        <v>36</v>
      </c>
      <c r="C53" s="13" t="s">
        <v>325</v>
      </c>
      <c r="D53" s="13" t="s">
        <v>364</v>
      </c>
      <c r="E53" s="13" t="s">
        <v>465</v>
      </c>
      <c r="F53" s="56" t="s">
        <v>230</v>
      </c>
      <c r="G53" s="25"/>
      <c r="H53" s="25"/>
      <c r="I53" s="26"/>
      <c r="J53" s="24" t="s">
        <v>466</v>
      </c>
      <c r="K53" s="24" t="s">
        <v>54</v>
      </c>
      <c r="L53" s="24" t="s">
        <v>22</v>
      </c>
      <c r="M53" s="27">
        <v>0</v>
      </c>
      <c r="N53" s="13" t="s">
        <v>467</v>
      </c>
      <c r="O53" s="16"/>
    </row>
    <row r="54" spans="1:15" ht="38.1" customHeight="1">
      <c r="A54" s="18" t="s">
        <v>278</v>
      </c>
      <c r="B54" s="13" t="s">
        <v>36</v>
      </c>
      <c r="C54" s="13" t="s">
        <v>326</v>
      </c>
      <c r="D54" s="13" t="s">
        <v>468</v>
      </c>
      <c r="E54" s="13" t="s">
        <v>469</v>
      </c>
      <c r="F54" s="24" t="s">
        <v>247</v>
      </c>
      <c r="G54" s="25"/>
      <c r="H54" s="25"/>
      <c r="I54" s="26"/>
      <c r="J54" s="24" t="s">
        <v>277</v>
      </c>
      <c r="K54" s="24" t="s">
        <v>58</v>
      </c>
      <c r="L54" s="24" t="s">
        <v>22</v>
      </c>
      <c r="M54" s="27">
        <v>0</v>
      </c>
      <c r="N54" s="13" t="s">
        <v>470</v>
      </c>
      <c r="O54" s="16"/>
    </row>
    <row r="55" spans="1:15" ht="38.1" customHeight="1">
      <c r="A55" s="18" t="s">
        <v>279</v>
      </c>
      <c r="B55" s="13" t="s">
        <v>36</v>
      </c>
      <c r="C55" s="13" t="s">
        <v>471</v>
      </c>
      <c r="D55" s="13" t="s">
        <v>365</v>
      </c>
      <c r="E55" s="13" t="s">
        <v>472</v>
      </c>
      <c r="F55" s="24" t="s">
        <v>232</v>
      </c>
      <c r="G55" s="25"/>
      <c r="H55" s="25"/>
      <c r="I55" s="26"/>
      <c r="J55" s="24" t="s">
        <v>277</v>
      </c>
      <c r="K55" s="24" t="s">
        <v>54</v>
      </c>
      <c r="L55" s="24" t="s">
        <v>22</v>
      </c>
      <c r="M55" s="27">
        <v>0</v>
      </c>
      <c r="N55" s="13" t="s">
        <v>473</v>
      </c>
      <c r="O55" s="16"/>
    </row>
    <row r="56" spans="1:15" ht="38.1" customHeight="1">
      <c r="A56" s="18" t="s">
        <v>366</v>
      </c>
      <c r="B56" s="13" t="s">
        <v>36</v>
      </c>
      <c r="C56" s="13" t="s">
        <v>474</v>
      </c>
      <c r="D56" s="13" t="s">
        <v>367</v>
      </c>
      <c r="E56" s="13" t="s">
        <v>475</v>
      </c>
      <c r="F56" s="24" t="s">
        <v>247</v>
      </c>
      <c r="G56" s="25"/>
      <c r="H56" s="25"/>
      <c r="I56" s="26"/>
      <c r="J56" s="24" t="s">
        <v>279</v>
      </c>
      <c r="K56" s="24" t="s">
        <v>54</v>
      </c>
      <c r="L56" s="24" t="s">
        <v>22</v>
      </c>
      <c r="M56" s="27">
        <v>0</v>
      </c>
      <c r="N56" s="13" t="s">
        <v>476</v>
      </c>
      <c r="O56" s="16"/>
    </row>
    <row r="57" spans="1:15" ht="38.1" customHeight="1">
      <c r="A57" s="18" t="s">
        <v>368</v>
      </c>
      <c r="B57" s="13" t="s">
        <v>36</v>
      </c>
      <c r="C57" s="13" t="s">
        <v>477</v>
      </c>
      <c r="D57" s="13" t="s">
        <v>172</v>
      </c>
      <c r="E57" s="13" t="s">
        <v>478</v>
      </c>
      <c r="F57" s="56" t="s">
        <v>232</v>
      </c>
      <c r="G57" s="25">
        <v>46246</v>
      </c>
      <c r="H57" s="25">
        <v>46246</v>
      </c>
      <c r="I57" s="26">
        <v>1</v>
      </c>
      <c r="J57" s="24" t="s">
        <v>277</v>
      </c>
      <c r="K57" s="24" t="s">
        <v>54</v>
      </c>
      <c r="L57" s="24" t="s">
        <v>22</v>
      </c>
      <c r="M57" s="27">
        <v>0</v>
      </c>
      <c r="N57" s="13" t="s">
        <v>479</v>
      </c>
      <c r="O57" s="16"/>
    </row>
    <row r="58" spans="1:15" ht="38.1" customHeight="1">
      <c r="A58" s="18" t="s">
        <v>369</v>
      </c>
      <c r="B58" s="13" t="s">
        <v>36</v>
      </c>
      <c r="C58" s="13" t="s">
        <v>480</v>
      </c>
      <c r="D58" s="13" t="s">
        <v>370</v>
      </c>
      <c r="E58" s="13" t="s">
        <v>481</v>
      </c>
      <c r="F58" s="24" t="s">
        <v>232</v>
      </c>
      <c r="G58" s="25"/>
      <c r="H58" s="25"/>
      <c r="I58" s="26"/>
      <c r="J58" s="24" t="s">
        <v>366</v>
      </c>
      <c r="K58" s="24" t="s">
        <v>54</v>
      </c>
      <c r="L58" s="24" t="s">
        <v>22</v>
      </c>
      <c r="M58" s="27">
        <v>0</v>
      </c>
      <c r="N58" s="13" t="s">
        <v>482</v>
      </c>
      <c r="O58" s="16"/>
    </row>
    <row r="59" spans="1:15" ht="38.1" customHeight="1">
      <c r="A59" s="18" t="s">
        <v>483</v>
      </c>
      <c r="B59" s="13" t="s">
        <v>36</v>
      </c>
      <c r="C59" s="13" t="s">
        <v>484</v>
      </c>
      <c r="D59" s="13" t="s">
        <v>485</v>
      </c>
      <c r="E59" s="13" t="s">
        <v>486</v>
      </c>
      <c r="F59" s="24" t="s">
        <v>247</v>
      </c>
      <c r="G59" s="25"/>
      <c r="H59" s="25"/>
      <c r="I59" s="26"/>
      <c r="J59" s="24" t="s">
        <v>277</v>
      </c>
      <c r="K59" s="24" t="s">
        <v>58</v>
      </c>
      <c r="L59" s="24" t="s">
        <v>22</v>
      </c>
      <c r="M59" s="27">
        <v>0</v>
      </c>
      <c r="N59" s="13" t="s">
        <v>487</v>
      </c>
      <c r="O59" s="16"/>
    </row>
    <row r="60" spans="1:15" ht="38.1" customHeight="1">
      <c r="A60" s="18" t="s">
        <v>488</v>
      </c>
      <c r="B60" s="13" t="s">
        <v>36</v>
      </c>
      <c r="C60" s="13" t="s">
        <v>489</v>
      </c>
      <c r="D60" s="13" t="s">
        <v>490</v>
      </c>
      <c r="E60" s="13" t="s">
        <v>491</v>
      </c>
      <c r="F60" s="24" t="s">
        <v>247</v>
      </c>
      <c r="G60" s="25"/>
      <c r="H60" s="25"/>
      <c r="I60" s="26"/>
      <c r="J60" s="24" t="s">
        <v>483</v>
      </c>
      <c r="K60" s="24" t="s">
        <v>58</v>
      </c>
      <c r="L60" s="24" t="s">
        <v>22</v>
      </c>
      <c r="M60" s="27">
        <v>0</v>
      </c>
      <c r="N60" s="13" t="s">
        <v>492</v>
      </c>
      <c r="O60" s="16"/>
    </row>
    <row r="61" spans="1:15" ht="38.1" customHeight="1">
      <c r="A61" s="18" t="s">
        <v>371</v>
      </c>
      <c r="B61" s="13" t="s">
        <v>36</v>
      </c>
      <c r="C61" s="13" t="s">
        <v>493</v>
      </c>
      <c r="D61" s="13" t="s">
        <v>327</v>
      </c>
      <c r="E61" s="13" t="s">
        <v>494</v>
      </c>
      <c r="F61" s="62" t="s">
        <v>230</v>
      </c>
      <c r="G61" s="25">
        <v>46246</v>
      </c>
      <c r="H61" s="25">
        <v>46246</v>
      </c>
      <c r="I61" s="26">
        <v>1</v>
      </c>
      <c r="J61" s="24" t="s">
        <v>488</v>
      </c>
      <c r="K61" s="24" t="s">
        <v>54</v>
      </c>
      <c r="L61" s="24" t="s">
        <v>20</v>
      </c>
      <c r="M61" s="27">
        <v>1</v>
      </c>
      <c r="N61" s="13" t="s">
        <v>495</v>
      </c>
      <c r="O61" s="16"/>
    </row>
    <row r="62" spans="1:15" ht="38.1" customHeight="1">
      <c r="A62" s="18" t="s">
        <v>280</v>
      </c>
      <c r="B62" s="13" t="s">
        <v>37</v>
      </c>
      <c r="C62" s="13" t="s">
        <v>496</v>
      </c>
      <c r="D62" s="13" t="s">
        <v>497</v>
      </c>
      <c r="E62" s="13" t="s">
        <v>498</v>
      </c>
      <c r="F62" s="24" t="s">
        <v>247</v>
      </c>
      <c r="G62" s="25">
        <v>46251</v>
      </c>
      <c r="H62" s="25">
        <v>46251</v>
      </c>
      <c r="I62" s="26">
        <v>1</v>
      </c>
      <c r="J62" s="24" t="s">
        <v>351</v>
      </c>
      <c r="K62" s="24" t="s">
        <v>58</v>
      </c>
      <c r="L62" s="24" t="s">
        <v>22</v>
      </c>
      <c r="M62" s="27">
        <v>0</v>
      </c>
      <c r="N62" s="13" t="s">
        <v>499</v>
      </c>
      <c r="O62" s="16"/>
    </row>
    <row r="63" spans="1:15" ht="38.1" customHeight="1">
      <c r="A63" s="18" t="s">
        <v>282</v>
      </c>
      <c r="B63" s="13" t="s">
        <v>37</v>
      </c>
      <c r="C63" s="13" t="s">
        <v>500</v>
      </c>
      <c r="D63" s="13" t="s">
        <v>501</v>
      </c>
      <c r="E63" s="13" t="s">
        <v>502</v>
      </c>
      <c r="F63" s="24" t="s">
        <v>247</v>
      </c>
      <c r="G63" s="25">
        <v>46251</v>
      </c>
      <c r="H63" s="25">
        <v>46251</v>
      </c>
      <c r="I63" s="26">
        <v>1</v>
      </c>
      <c r="J63" s="24" t="s">
        <v>280</v>
      </c>
      <c r="K63" s="24" t="s">
        <v>58</v>
      </c>
      <c r="L63" s="24" t="s">
        <v>22</v>
      </c>
      <c r="M63" s="27">
        <v>0</v>
      </c>
      <c r="N63" s="13" t="s">
        <v>503</v>
      </c>
      <c r="O63" s="16"/>
    </row>
    <row r="64" spans="1:15" ht="38.1" customHeight="1">
      <c r="A64" s="18" t="s">
        <v>284</v>
      </c>
      <c r="B64" s="13" t="s">
        <v>37</v>
      </c>
      <c r="C64" s="13" t="s">
        <v>291</v>
      </c>
      <c r="D64" s="13" t="s">
        <v>504</v>
      </c>
      <c r="E64" s="13" t="s">
        <v>505</v>
      </c>
      <c r="F64" s="24" t="s">
        <v>230</v>
      </c>
      <c r="G64" s="25">
        <v>46230</v>
      </c>
      <c r="H64" s="25">
        <v>46230</v>
      </c>
      <c r="I64" s="26">
        <v>1</v>
      </c>
      <c r="J64" s="24" t="s">
        <v>249</v>
      </c>
      <c r="K64" s="24" t="s">
        <v>54</v>
      </c>
      <c r="L64" s="24" t="s">
        <v>20</v>
      </c>
      <c r="M64" s="27">
        <v>1</v>
      </c>
      <c r="N64" s="13" t="s">
        <v>506</v>
      </c>
      <c r="O64" s="16"/>
    </row>
    <row r="65" spans="1:15" ht="38.1" customHeight="1">
      <c r="A65" s="18" t="s">
        <v>285</v>
      </c>
      <c r="B65" s="13" t="s">
        <v>37</v>
      </c>
      <c r="C65" s="13" t="s">
        <v>291</v>
      </c>
      <c r="D65" s="13" t="s">
        <v>507</v>
      </c>
      <c r="E65" s="13" t="s">
        <v>505</v>
      </c>
      <c r="F65" s="24" t="s">
        <v>230</v>
      </c>
      <c r="G65" s="25">
        <v>46230</v>
      </c>
      <c r="H65" s="25">
        <v>46230</v>
      </c>
      <c r="I65" s="26">
        <v>1</v>
      </c>
      <c r="J65" s="24" t="s">
        <v>249</v>
      </c>
      <c r="K65" s="24" t="s">
        <v>54</v>
      </c>
      <c r="L65" s="24" t="s">
        <v>20</v>
      </c>
      <c r="M65" s="27">
        <v>1</v>
      </c>
      <c r="N65" s="13" t="s">
        <v>508</v>
      </c>
      <c r="O65" s="16"/>
    </row>
    <row r="66" spans="1:15" ht="38.1" customHeight="1">
      <c r="A66" s="18" t="s">
        <v>286</v>
      </c>
      <c r="B66" s="13" t="s">
        <v>37</v>
      </c>
      <c r="C66" s="13" t="s">
        <v>509</v>
      </c>
      <c r="D66" s="13" t="s">
        <v>510</v>
      </c>
      <c r="E66" s="13" t="s">
        <v>511</v>
      </c>
      <c r="F66" s="24" t="s">
        <v>247</v>
      </c>
      <c r="G66" s="25">
        <v>46251</v>
      </c>
      <c r="H66" s="25">
        <v>46251</v>
      </c>
      <c r="I66" s="26">
        <v>1</v>
      </c>
      <c r="J66" s="24" t="s">
        <v>257</v>
      </c>
      <c r="K66" s="24" t="s">
        <v>54</v>
      </c>
      <c r="L66" s="56" t="s">
        <v>22</v>
      </c>
      <c r="M66" s="27">
        <v>0</v>
      </c>
      <c r="N66" s="13" t="s">
        <v>512</v>
      </c>
      <c r="O66" s="16"/>
    </row>
    <row r="67" spans="1:15" ht="38.1" customHeight="1">
      <c r="A67" s="18" t="s">
        <v>513</v>
      </c>
      <c r="B67" s="13" t="s">
        <v>37</v>
      </c>
      <c r="C67" s="13" t="s">
        <v>514</v>
      </c>
      <c r="D67" s="13" t="s">
        <v>515</v>
      </c>
      <c r="E67" s="13" t="s">
        <v>516</v>
      </c>
      <c r="F67" s="24" t="s">
        <v>247</v>
      </c>
      <c r="G67" s="25">
        <v>46251</v>
      </c>
      <c r="H67" s="25">
        <v>46251</v>
      </c>
      <c r="I67" s="26">
        <v>1</v>
      </c>
      <c r="J67" s="24" t="s">
        <v>286</v>
      </c>
      <c r="K67" s="24" t="s">
        <v>58</v>
      </c>
      <c r="L67" s="56" t="s">
        <v>22</v>
      </c>
      <c r="M67" s="27">
        <v>0</v>
      </c>
      <c r="N67" s="13" t="s">
        <v>517</v>
      </c>
      <c r="O67" s="16"/>
    </row>
    <row r="68" spans="1:15" ht="38.1" customHeight="1">
      <c r="A68" s="18" t="s">
        <v>518</v>
      </c>
      <c r="B68" s="13" t="s">
        <v>37</v>
      </c>
      <c r="C68" s="13" t="s">
        <v>519</v>
      </c>
      <c r="D68" s="13" t="s">
        <v>292</v>
      </c>
      <c r="E68" s="13" t="s">
        <v>81</v>
      </c>
      <c r="F68" s="24" t="s">
        <v>247</v>
      </c>
      <c r="G68" s="25">
        <v>46246</v>
      </c>
      <c r="H68" s="25">
        <v>46249</v>
      </c>
      <c r="I68" s="26">
        <v>4</v>
      </c>
      <c r="J68" s="24" t="s">
        <v>342</v>
      </c>
      <c r="K68" s="24" t="s">
        <v>54</v>
      </c>
      <c r="L68" s="24" t="s">
        <v>22</v>
      </c>
      <c r="M68" s="27">
        <v>0</v>
      </c>
      <c r="N68" s="13" t="s">
        <v>520</v>
      </c>
      <c r="O68" s="16" t="s">
        <v>521</v>
      </c>
    </row>
    <row r="69" spans="1:15" ht="38.1" customHeight="1">
      <c r="A69" s="18" t="s">
        <v>522</v>
      </c>
      <c r="B69" s="13" t="s">
        <v>37</v>
      </c>
      <c r="C69" s="13" t="s">
        <v>523</v>
      </c>
      <c r="D69" s="13" t="s">
        <v>524</v>
      </c>
      <c r="E69" s="13" t="s">
        <v>525</v>
      </c>
      <c r="F69" s="24" t="s">
        <v>232</v>
      </c>
      <c r="G69" s="25">
        <v>46247</v>
      </c>
      <c r="H69" s="25">
        <v>46251</v>
      </c>
      <c r="I69" s="26">
        <v>5</v>
      </c>
      <c r="J69" s="24" t="s">
        <v>526</v>
      </c>
      <c r="K69" s="24" t="s">
        <v>54</v>
      </c>
      <c r="L69" s="24" t="s">
        <v>22</v>
      </c>
      <c r="M69" s="27">
        <v>0</v>
      </c>
      <c r="N69" s="13" t="s">
        <v>527</v>
      </c>
      <c r="O69" s="16"/>
    </row>
    <row r="70" spans="1:15" ht="28.5" customHeight="1">
      <c r="A70" s="18" t="s">
        <v>528</v>
      </c>
      <c r="B70" s="13" t="s">
        <v>37</v>
      </c>
      <c r="C70" s="13" t="s">
        <v>529</v>
      </c>
      <c r="D70" s="13" t="s">
        <v>530</v>
      </c>
      <c r="E70" s="13" t="s">
        <v>531</v>
      </c>
      <c r="F70" s="24" t="s">
        <v>247</v>
      </c>
      <c r="G70" s="25">
        <v>46251</v>
      </c>
      <c r="H70" s="25">
        <v>46251</v>
      </c>
      <c r="I70" s="26">
        <v>1</v>
      </c>
      <c r="J70" s="24" t="s">
        <v>358</v>
      </c>
      <c r="K70" s="24" t="s">
        <v>54</v>
      </c>
      <c r="L70" s="56" t="s">
        <v>22</v>
      </c>
      <c r="M70" s="27">
        <v>0</v>
      </c>
      <c r="N70" s="13" t="s">
        <v>532</v>
      </c>
      <c r="O70" s="16"/>
    </row>
    <row r="71" spans="1:15" ht="38.1" customHeight="1">
      <c r="A71" s="18" t="s">
        <v>533</v>
      </c>
      <c r="B71" s="13" t="s">
        <v>37</v>
      </c>
      <c r="C71" s="13" t="s">
        <v>534</v>
      </c>
      <c r="D71" s="13" t="s">
        <v>535</v>
      </c>
      <c r="E71" s="13" t="s">
        <v>536</v>
      </c>
      <c r="F71" s="24" t="s">
        <v>247</v>
      </c>
      <c r="G71" s="25">
        <v>46251</v>
      </c>
      <c r="H71" s="25">
        <v>46251</v>
      </c>
      <c r="I71" s="26">
        <v>1</v>
      </c>
      <c r="J71" s="24" t="s">
        <v>360</v>
      </c>
      <c r="K71" s="24" t="s">
        <v>54</v>
      </c>
      <c r="L71" s="24" t="s">
        <v>22</v>
      </c>
      <c r="M71" s="27">
        <v>0</v>
      </c>
      <c r="N71" s="13" t="s">
        <v>537</v>
      </c>
      <c r="O71" s="16"/>
    </row>
    <row r="72" spans="1:15" ht="38.1" customHeight="1">
      <c r="A72" s="18" t="s">
        <v>538</v>
      </c>
      <c r="B72" s="13" t="s">
        <v>37</v>
      </c>
      <c r="C72" s="13" t="s">
        <v>539</v>
      </c>
      <c r="D72" s="13" t="s">
        <v>540</v>
      </c>
      <c r="E72" s="13" t="s">
        <v>541</v>
      </c>
      <c r="F72" s="24" t="s">
        <v>247</v>
      </c>
      <c r="G72" s="25">
        <v>46251</v>
      </c>
      <c r="H72" s="25">
        <v>46251</v>
      </c>
      <c r="I72" s="26">
        <v>1</v>
      </c>
      <c r="J72" s="24" t="s">
        <v>460</v>
      </c>
      <c r="K72" s="24" t="s">
        <v>58</v>
      </c>
      <c r="L72" s="24" t="s">
        <v>22</v>
      </c>
      <c r="M72" s="27">
        <v>0</v>
      </c>
      <c r="N72" s="13" t="s">
        <v>542</v>
      </c>
      <c r="O72" s="16"/>
    </row>
    <row r="73" spans="1:15" ht="38.1" customHeight="1">
      <c r="A73" s="18" t="s">
        <v>543</v>
      </c>
      <c r="B73" s="13" t="s">
        <v>37</v>
      </c>
      <c r="C73" s="13" t="s">
        <v>544</v>
      </c>
      <c r="D73" s="13" t="s">
        <v>545</v>
      </c>
      <c r="E73" s="13" t="s">
        <v>546</v>
      </c>
      <c r="F73" s="62" t="s">
        <v>604</v>
      </c>
      <c r="G73" s="25">
        <v>46251</v>
      </c>
      <c r="H73" s="25">
        <v>46251</v>
      </c>
      <c r="I73" s="26">
        <v>1</v>
      </c>
      <c r="J73" s="24" t="s">
        <v>368</v>
      </c>
      <c r="K73" s="24" t="s">
        <v>54</v>
      </c>
      <c r="L73" s="24" t="s">
        <v>22</v>
      </c>
      <c r="M73" s="27">
        <v>0</v>
      </c>
      <c r="N73" s="13" t="s">
        <v>547</v>
      </c>
      <c r="O73" s="16" t="s">
        <v>521</v>
      </c>
    </row>
    <row r="74" spans="1:15" ht="38.1" customHeight="1">
      <c r="A74" s="18" t="s">
        <v>548</v>
      </c>
      <c r="B74" s="13" t="s">
        <v>37</v>
      </c>
      <c r="C74" s="13" t="s">
        <v>549</v>
      </c>
      <c r="D74" s="13" t="s">
        <v>550</v>
      </c>
      <c r="E74" s="13" t="s">
        <v>551</v>
      </c>
      <c r="F74" s="24" t="s">
        <v>252</v>
      </c>
      <c r="G74" s="25">
        <v>46251</v>
      </c>
      <c r="H74" s="25">
        <v>46251</v>
      </c>
      <c r="I74" s="26">
        <v>1</v>
      </c>
      <c r="J74" s="24" t="s">
        <v>369</v>
      </c>
      <c r="K74" s="24" t="s">
        <v>54</v>
      </c>
      <c r="L74" s="24" t="s">
        <v>22</v>
      </c>
      <c r="M74" s="27">
        <v>0</v>
      </c>
      <c r="N74" s="13" t="s">
        <v>552</v>
      </c>
      <c r="O74" s="16"/>
    </row>
    <row r="75" spans="1:15" ht="38.1" customHeight="1">
      <c r="A75" s="18" t="s">
        <v>553</v>
      </c>
      <c r="B75" s="13" t="s">
        <v>37</v>
      </c>
      <c r="C75" s="13" t="s">
        <v>554</v>
      </c>
      <c r="D75" s="13" t="s">
        <v>101</v>
      </c>
      <c r="E75" s="13" t="s">
        <v>102</v>
      </c>
      <c r="F75" s="24" t="s">
        <v>252</v>
      </c>
      <c r="G75" s="25">
        <v>46252</v>
      </c>
      <c r="H75" s="25">
        <v>46252</v>
      </c>
      <c r="I75" s="26">
        <v>1</v>
      </c>
      <c r="J75" s="24" t="s">
        <v>555</v>
      </c>
      <c r="K75" s="24" t="s">
        <v>54</v>
      </c>
      <c r="L75" s="24" t="s">
        <v>22</v>
      </c>
      <c r="M75" s="27">
        <v>0</v>
      </c>
      <c r="N75" s="13" t="s">
        <v>556</v>
      </c>
      <c r="O75" s="16"/>
    </row>
    <row r="76" spans="1:15" ht="38.1" customHeight="1">
      <c r="A76" s="18" t="s">
        <v>287</v>
      </c>
      <c r="B76" s="13" t="s">
        <v>38</v>
      </c>
      <c r="C76" s="13" t="s">
        <v>56</v>
      </c>
      <c r="D76" s="13" t="s">
        <v>293</v>
      </c>
      <c r="E76" s="13" t="s">
        <v>294</v>
      </c>
      <c r="F76" s="24" t="s">
        <v>232</v>
      </c>
      <c r="G76" s="25">
        <v>46251</v>
      </c>
      <c r="H76" s="25">
        <v>46252</v>
      </c>
      <c r="I76" s="26">
        <v>3</v>
      </c>
      <c r="J76" s="24" t="s">
        <v>229</v>
      </c>
      <c r="K76" s="24" t="s">
        <v>58</v>
      </c>
      <c r="L76" s="24" t="s">
        <v>21</v>
      </c>
      <c r="M76" s="27">
        <v>0.2</v>
      </c>
      <c r="N76" s="13" t="s">
        <v>557</v>
      </c>
      <c r="O76" s="16"/>
    </row>
    <row r="77" spans="1:15" ht="42.75" customHeight="1">
      <c r="A77" s="18" t="s">
        <v>288</v>
      </c>
      <c r="B77" s="13" t="s">
        <v>38</v>
      </c>
      <c r="C77" s="13" t="s">
        <v>558</v>
      </c>
      <c r="D77" s="13" t="s">
        <v>559</v>
      </c>
      <c r="E77" s="13" t="s">
        <v>560</v>
      </c>
      <c r="F77" s="24" t="s">
        <v>232</v>
      </c>
      <c r="G77" s="25">
        <v>46251</v>
      </c>
      <c r="H77" s="25">
        <v>46252</v>
      </c>
      <c r="I77" s="26">
        <v>3</v>
      </c>
      <c r="J77" s="24" t="s">
        <v>229</v>
      </c>
      <c r="K77" s="24" t="s">
        <v>58</v>
      </c>
      <c r="L77" s="24" t="s">
        <v>21</v>
      </c>
      <c r="M77" s="27">
        <v>0.2</v>
      </c>
      <c r="N77" s="13" t="s">
        <v>561</v>
      </c>
      <c r="O77" s="16"/>
    </row>
    <row r="78" spans="1:15" ht="37.5" customHeight="1">
      <c r="A78" s="18" t="s">
        <v>289</v>
      </c>
      <c r="B78" s="13" t="s">
        <v>38</v>
      </c>
      <c r="C78" s="13" t="s">
        <v>296</v>
      </c>
      <c r="D78" s="13" t="s">
        <v>295</v>
      </c>
      <c r="E78" s="13" t="s">
        <v>296</v>
      </c>
      <c r="F78" s="24" t="s">
        <v>232</v>
      </c>
      <c r="G78" s="25">
        <v>46251</v>
      </c>
      <c r="H78" s="25">
        <v>46252</v>
      </c>
      <c r="I78" s="26">
        <v>3</v>
      </c>
      <c r="J78" s="24" t="s">
        <v>288</v>
      </c>
      <c r="K78" s="24" t="s">
        <v>58</v>
      </c>
      <c r="L78" s="24" t="s">
        <v>22</v>
      </c>
      <c r="M78" s="27">
        <v>0</v>
      </c>
      <c r="N78" s="13" t="s">
        <v>562</v>
      </c>
      <c r="O78" s="16"/>
    </row>
    <row r="79" spans="1:15" ht="38.1" customHeight="1">
      <c r="A79" s="18" t="s">
        <v>290</v>
      </c>
      <c r="B79" s="13" t="s">
        <v>38</v>
      </c>
      <c r="C79" s="13" t="s">
        <v>563</v>
      </c>
      <c r="D79" s="13" t="s">
        <v>564</v>
      </c>
      <c r="E79" s="13" t="s">
        <v>565</v>
      </c>
      <c r="F79" s="24" t="s">
        <v>247</v>
      </c>
      <c r="G79" s="25">
        <v>46251</v>
      </c>
      <c r="H79" s="25">
        <v>46252</v>
      </c>
      <c r="I79" s="26">
        <v>3</v>
      </c>
      <c r="J79" s="24" t="s">
        <v>288</v>
      </c>
      <c r="K79" s="24" t="s">
        <v>58</v>
      </c>
      <c r="L79" s="24" t="s">
        <v>22</v>
      </c>
      <c r="M79" s="27">
        <v>0</v>
      </c>
      <c r="N79" s="13" t="s">
        <v>566</v>
      </c>
      <c r="O79" s="16"/>
    </row>
    <row r="80" spans="1:15" ht="37.5" customHeight="1">
      <c r="A80" s="18" t="s">
        <v>567</v>
      </c>
      <c r="B80" s="13" t="s">
        <v>38</v>
      </c>
      <c r="C80" s="13" t="s">
        <v>568</v>
      </c>
      <c r="D80" s="13" t="s">
        <v>569</v>
      </c>
      <c r="E80" s="13" t="s">
        <v>297</v>
      </c>
      <c r="F80" s="24" t="s">
        <v>230</v>
      </c>
      <c r="G80" s="25">
        <v>46251</v>
      </c>
      <c r="H80" s="25">
        <v>46252</v>
      </c>
      <c r="I80" s="26">
        <v>3</v>
      </c>
      <c r="J80" s="24" t="s">
        <v>290</v>
      </c>
      <c r="K80" s="24" t="s">
        <v>58</v>
      </c>
      <c r="L80" s="24" t="s">
        <v>22</v>
      </c>
      <c r="M80" s="27">
        <v>0</v>
      </c>
      <c r="N80" s="13" t="s">
        <v>570</v>
      </c>
      <c r="O80" s="16"/>
    </row>
    <row r="81" spans="1:15" ht="38.1" customHeight="1">
      <c r="A81" s="18" t="s">
        <v>571</v>
      </c>
      <c r="B81" s="13" t="s">
        <v>38</v>
      </c>
      <c r="C81" s="13" t="s">
        <v>572</v>
      </c>
      <c r="D81" s="13" t="s">
        <v>103</v>
      </c>
      <c r="E81" s="13" t="s">
        <v>103</v>
      </c>
      <c r="F81" s="24" t="s">
        <v>247</v>
      </c>
      <c r="G81" s="25">
        <v>46245</v>
      </c>
      <c r="H81" s="25">
        <v>46246</v>
      </c>
      <c r="I81" s="26">
        <v>2</v>
      </c>
      <c r="J81" s="24" t="s">
        <v>353</v>
      </c>
      <c r="K81" s="24" t="s">
        <v>94</v>
      </c>
      <c r="L81" s="24" t="s">
        <v>22</v>
      </c>
      <c r="M81" s="27">
        <v>0</v>
      </c>
      <c r="N81" s="13" t="s">
        <v>573</v>
      </c>
      <c r="O81" s="16"/>
    </row>
    <row r="82" spans="1:15" ht="37.5" customHeight="1">
      <c r="A82" s="18" t="s">
        <v>574</v>
      </c>
      <c r="B82" s="13" t="s">
        <v>38</v>
      </c>
      <c r="C82" s="13" t="s">
        <v>575</v>
      </c>
      <c r="D82" s="13" t="s">
        <v>104</v>
      </c>
      <c r="E82" s="13" t="s">
        <v>104</v>
      </c>
      <c r="F82" s="24" t="s">
        <v>247</v>
      </c>
      <c r="G82" s="25">
        <v>46251</v>
      </c>
      <c r="H82" s="25">
        <v>46252</v>
      </c>
      <c r="I82" s="26">
        <v>3</v>
      </c>
      <c r="J82" s="24" t="s">
        <v>553</v>
      </c>
      <c r="K82" s="24" t="s">
        <v>54</v>
      </c>
      <c r="L82" s="24" t="s">
        <v>22</v>
      </c>
      <c r="M82" s="27">
        <v>0</v>
      </c>
      <c r="N82" s="13" t="s">
        <v>576</v>
      </c>
      <c r="O82" s="16"/>
    </row>
    <row r="83" spans="1:15" ht="38.1" customHeight="1">
      <c r="A83" s="18" t="s">
        <v>577</v>
      </c>
      <c r="B83" s="13" t="s">
        <v>38</v>
      </c>
      <c r="C83" s="13" t="s">
        <v>298</v>
      </c>
      <c r="D83" s="13" t="s">
        <v>298</v>
      </c>
      <c r="E83" s="13" t="s">
        <v>298</v>
      </c>
      <c r="F83" s="56" t="s">
        <v>607</v>
      </c>
      <c r="G83" s="25">
        <v>46251</v>
      </c>
      <c r="H83" s="25">
        <v>46252</v>
      </c>
      <c r="I83" s="26">
        <v>3</v>
      </c>
      <c r="J83" s="24" t="s">
        <v>567</v>
      </c>
      <c r="K83" s="24" t="s">
        <v>54</v>
      </c>
      <c r="L83" s="24" t="s">
        <v>22</v>
      </c>
      <c r="M83" s="27">
        <v>0</v>
      </c>
      <c r="N83" s="13" t="s">
        <v>578</v>
      </c>
      <c r="O83" s="16"/>
    </row>
    <row r="84" spans="1:15" ht="37.5" customHeight="1">
      <c r="A84" s="18" t="s">
        <v>579</v>
      </c>
      <c r="B84" s="13" t="s">
        <v>38</v>
      </c>
      <c r="C84" s="13" t="s">
        <v>580</v>
      </c>
      <c r="D84" s="13" t="s">
        <v>299</v>
      </c>
      <c r="E84" s="13" t="s">
        <v>299</v>
      </c>
      <c r="F84" s="24" t="s">
        <v>252</v>
      </c>
      <c r="G84" s="25">
        <v>46251</v>
      </c>
      <c r="H84" s="25">
        <v>46252</v>
      </c>
      <c r="I84" s="26">
        <v>3</v>
      </c>
      <c r="J84" s="24" t="s">
        <v>577</v>
      </c>
      <c r="K84" s="24" t="s">
        <v>54</v>
      </c>
      <c r="L84" s="24" t="s">
        <v>22</v>
      </c>
      <c r="M84" s="27">
        <v>0</v>
      </c>
      <c r="N84" s="13" t="s">
        <v>581</v>
      </c>
      <c r="O84" s="16"/>
    </row>
    <row r="85" spans="1:15" ht="38.1" customHeight="1">
      <c r="A85" s="18" t="s">
        <v>582</v>
      </c>
      <c r="B85" s="13" t="s">
        <v>38</v>
      </c>
      <c r="C85" s="13" t="s">
        <v>583</v>
      </c>
      <c r="D85" s="13" t="s">
        <v>584</v>
      </c>
      <c r="E85" s="13" t="s">
        <v>584</v>
      </c>
      <c r="F85" s="24" t="s">
        <v>252</v>
      </c>
      <c r="G85" s="25">
        <v>46251</v>
      </c>
      <c r="H85" s="25">
        <v>46252</v>
      </c>
      <c r="I85" s="26">
        <v>3</v>
      </c>
      <c r="J85" s="24" t="s">
        <v>577</v>
      </c>
      <c r="K85" s="24" t="s">
        <v>54</v>
      </c>
      <c r="L85" s="24" t="s">
        <v>22</v>
      </c>
      <c r="M85" s="27">
        <v>0</v>
      </c>
      <c r="N85" s="13" t="s">
        <v>585</v>
      </c>
      <c r="O85" s="16"/>
    </row>
    <row r="86" spans="1:15" ht="37.5" customHeight="1">
      <c r="A86" s="18" t="s">
        <v>586</v>
      </c>
      <c r="B86" s="13" t="s">
        <v>38</v>
      </c>
      <c r="C86" s="13" t="s">
        <v>587</v>
      </c>
      <c r="D86" s="13" t="s">
        <v>107</v>
      </c>
      <c r="E86" s="13" t="s">
        <v>107</v>
      </c>
      <c r="F86" s="24" t="s">
        <v>230</v>
      </c>
      <c r="G86" s="25">
        <v>46252</v>
      </c>
      <c r="H86" s="25">
        <v>46252</v>
      </c>
      <c r="I86" s="26">
        <v>1</v>
      </c>
      <c r="J86" s="24" t="s">
        <v>553</v>
      </c>
      <c r="K86" s="24" t="s">
        <v>58</v>
      </c>
      <c r="L86" s="24" t="s">
        <v>22</v>
      </c>
      <c r="M86" s="27">
        <v>0</v>
      </c>
      <c r="N86" s="13" t="s">
        <v>588</v>
      </c>
      <c r="O86" s="16"/>
    </row>
    <row r="87" spans="1:15" ht="38.1" customHeight="1">
      <c r="A87" s="18" t="s">
        <v>589</v>
      </c>
      <c r="B87" s="13" t="s">
        <v>38</v>
      </c>
      <c r="C87" s="13" t="s">
        <v>590</v>
      </c>
      <c r="D87" s="13" t="s">
        <v>108</v>
      </c>
      <c r="E87" s="13" t="s">
        <v>108</v>
      </c>
      <c r="F87" s="24" t="s">
        <v>230</v>
      </c>
      <c r="G87" s="25">
        <v>46253</v>
      </c>
      <c r="H87" s="25">
        <v>46253</v>
      </c>
      <c r="I87" s="26">
        <v>1</v>
      </c>
      <c r="J87" s="24" t="s">
        <v>591</v>
      </c>
      <c r="K87" s="24" t="s">
        <v>54</v>
      </c>
      <c r="L87" s="24" t="s">
        <v>22</v>
      </c>
      <c r="M87" s="27">
        <v>0</v>
      </c>
      <c r="N87" s="13" t="s">
        <v>592</v>
      </c>
      <c r="O87" s="16"/>
    </row>
    <row r="88" spans="1:15" ht="37.5" customHeight="1">
      <c r="A88" s="18" t="s">
        <v>593</v>
      </c>
      <c r="B88" s="13" t="s">
        <v>38</v>
      </c>
      <c r="C88" s="13" t="s">
        <v>594</v>
      </c>
      <c r="D88" s="13" t="s">
        <v>323</v>
      </c>
      <c r="E88" s="13" t="s">
        <v>324</v>
      </c>
      <c r="F88" s="24" t="s">
        <v>252</v>
      </c>
      <c r="G88" s="25">
        <v>46252</v>
      </c>
      <c r="H88" s="25">
        <v>46252</v>
      </c>
      <c r="I88" s="26">
        <v>1</v>
      </c>
      <c r="J88" s="24" t="s">
        <v>595</v>
      </c>
      <c r="K88" s="24" t="s">
        <v>54</v>
      </c>
      <c r="L88" s="24" t="s">
        <v>22</v>
      </c>
      <c r="M88" s="27">
        <v>0</v>
      </c>
      <c r="N88" s="13" t="s">
        <v>596</v>
      </c>
      <c r="O88" s="16"/>
    </row>
    <row r="89" spans="1:15" ht="37.5" customHeight="1">
      <c r="A89" s="18" t="s">
        <v>597</v>
      </c>
      <c r="B89" s="13" t="s">
        <v>38</v>
      </c>
      <c r="C89" s="13" t="s">
        <v>300</v>
      </c>
      <c r="D89" s="13" t="s">
        <v>301</v>
      </c>
      <c r="E89" s="13" t="s">
        <v>302</v>
      </c>
      <c r="F89" s="24" t="s">
        <v>252</v>
      </c>
      <c r="G89" s="25">
        <v>46252</v>
      </c>
      <c r="H89" s="25">
        <v>46252</v>
      </c>
      <c r="I89" s="26">
        <v>1</v>
      </c>
      <c r="J89" s="24" t="s">
        <v>593</v>
      </c>
      <c r="K89" s="24" t="s">
        <v>94</v>
      </c>
      <c r="L89" s="24" t="s">
        <v>22</v>
      </c>
      <c r="M89" s="27">
        <v>0</v>
      </c>
      <c r="N89" s="13" t="s">
        <v>598</v>
      </c>
      <c r="O89" s="16"/>
    </row>
  </sheetData>
  <mergeCells count="2">
    <mergeCell ref="A1:O2"/>
    <mergeCell ref="A4:O4"/>
  </mergeCells>
  <phoneticPr fontId="13" type="noConversion"/>
  <conditionalFormatting sqref="A7:O89">
    <cfRule type="expression" dxfId="21" priority="1">
      <formula>$L7="미착수"</formula>
    </cfRule>
  </conditionalFormatting>
  <conditionalFormatting sqref="B7:B89">
    <cfRule type="expression" dxfId="20" priority="2">
      <formula>B7="프로젝트 관리"</formula>
    </cfRule>
    <cfRule type="expression" dxfId="19" priority="3">
      <formula>B7="로봇 시스템"</formula>
    </cfRule>
    <cfRule type="expression" dxfId="18" priority="4">
      <formula>B7="지도·자율주행"</formula>
    </cfRule>
    <cfRule type="expression" dxfId="17" priority="5">
      <formula>B7="센서·비전"</formula>
    </cfRule>
    <cfRule type="expression" dxfId="16" priority="6">
      <formula>B7="서비스 기능"</formula>
    </cfRule>
    <cfRule type="expression" dxfId="15" priority="7">
      <formula>B7="시스템 통합"</formula>
    </cfRule>
    <cfRule type="expression" dxfId="14" priority="8">
      <formula>B7="시험·검증"</formula>
    </cfRule>
    <cfRule type="expression" dxfId="13" priority="9">
      <formula>B7="문서·발표"</formula>
    </cfRule>
  </conditionalFormatting>
  <conditionalFormatting sqref="K7:K89">
    <cfRule type="expression" dxfId="12" priority="46">
      <formula>K7="높음"</formula>
    </cfRule>
  </conditionalFormatting>
  <conditionalFormatting sqref="L7:L89">
    <cfRule type="expression" dxfId="11" priority="42">
      <formula>L7="완료"</formula>
    </cfRule>
    <cfRule type="expression" dxfId="10" priority="43">
      <formula>L7="진행중"</formula>
    </cfRule>
    <cfRule type="expression" dxfId="9" priority="44">
      <formula>L7="미착수"</formula>
    </cfRule>
    <cfRule type="expression" dxfId="8" priority="45">
      <formula>L7="보류"</formula>
    </cfRule>
  </conditionalFormatting>
  <conditionalFormatting sqref="M55:M75 M7:M48">
    <cfRule type="dataBar" priority="112">
      <dataBar>
        <cfvo type="min"/>
        <cfvo type="max"/>
        <color rgb="FF1C75BC"/>
      </dataBar>
    </cfRule>
    <cfRule type="dataBar" priority="113">
      <dataBar>
        <cfvo type="min"/>
        <cfvo type="max"/>
        <color rgb="FF1C75BC"/>
      </dataBar>
      <extLst>
        <ext xmlns:x14="http://schemas.microsoft.com/office/spreadsheetml/2009/9/main" uri="{B025F937-C7B1-47D3-B67F-A62EFF666E3E}">
          <x14:id>{DABBDB0D-58A4-4FC6-9235-33089A35AC19}</x14:id>
        </ext>
      </extLst>
    </cfRule>
  </conditionalFormatting>
  <conditionalFormatting sqref="M49:M54">
    <cfRule type="dataBar" priority="110">
      <dataBar>
        <cfvo type="min"/>
        <cfvo type="max"/>
        <color rgb="FF1C75BC"/>
      </dataBar>
    </cfRule>
    <cfRule type="dataBar" priority="111">
      <dataBar>
        <cfvo type="min"/>
        <cfvo type="max"/>
        <color rgb="FF1C75BC"/>
      </dataBar>
      <extLst>
        <ext xmlns:x14="http://schemas.microsoft.com/office/spreadsheetml/2009/9/main" uri="{B025F937-C7B1-47D3-B67F-A62EFF666E3E}">
          <x14:id>{B4CC7A93-8C32-4004-B9E1-06FB84BD5D4E}</x14:id>
        </ext>
      </extLst>
    </cfRule>
  </conditionalFormatting>
  <conditionalFormatting sqref="M76:M89">
    <cfRule type="dataBar" priority="47">
      <dataBar>
        <cfvo type="min"/>
        <cfvo type="max"/>
        <color rgb="FF1C75BC"/>
      </dataBar>
    </cfRule>
    <cfRule type="dataBar" priority="48">
      <dataBar>
        <cfvo type="min"/>
        <cfvo type="max"/>
        <color rgb="FF1C75BC"/>
      </dataBar>
      <extLst>
        <ext xmlns:x14="http://schemas.microsoft.com/office/spreadsheetml/2009/9/main" uri="{B025F937-C7B1-47D3-B67F-A62EFF666E3E}">
          <x14:id>{BDE8DD53-2502-4BF6-AC59-69CA5FE6DA99}</x14:id>
        </ext>
      </extLst>
    </cfRule>
  </conditionalFormatting>
  <dataValidations count="5">
    <dataValidation type="list" sqref="F1:F6 F90:F1048576" xr:uid="{42683557-B0A7-4C1A-9960-4141EE4976C2}">
      <formula1>"공동,강유나,김예은,미정"</formula1>
    </dataValidation>
    <dataValidation type="list" sqref="K7:K89" xr:uid="{BB4E2A9C-80A7-4A0C-8C4F-D75E254E4B57}">
      <formula1>"높음,중간,낮음"</formula1>
    </dataValidation>
    <dataValidation type="list" sqref="L7:L89" xr:uid="{D444DB4F-447B-4D47-B04E-2CF83E504BFA}">
      <formula1>"완료,진행중,미착수,보류"</formula1>
    </dataValidation>
    <dataValidation type="decimal" sqref="M7:M89" xr:uid="{70BC40D7-FDD1-4075-89C2-53B5EB3F8A2A}">
      <formula1>0</formula1>
      <formula2>1</formula2>
    </dataValidation>
    <dataValidation type="list" sqref="F7:F89" xr:uid="{6BCA4970-1059-4D24-9C50-ECC8DEB36D01}">
      <formula1>"김예은,강유나,공동"</formula1>
    </dataValidation>
  </dataValidations>
  <pageMargins left="0.7" right="0.7" top="0.75" bottom="0.75" header="0.3" footer="0.3"/>
  <ignoredErrors>
    <ignoredError sqref="F6" listDataValidatio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BBDB0D-58A4-4FC6-9235-33089A35AC19}">
            <x14:dataBar>
              <x14:cfvo type="min"/>
              <x14:cfvo type="max"/>
              <x14:negativeFillColor auto="1"/>
              <x14:axisColor auto="1"/>
            </x14:dataBar>
          </x14:cfRule>
          <xm:sqref>M55:M75 M7:M48</xm:sqref>
        </x14:conditionalFormatting>
        <x14:conditionalFormatting xmlns:xm="http://schemas.microsoft.com/office/excel/2006/main">
          <x14:cfRule type="dataBar" id="{B4CC7A93-8C32-4004-B9E1-06FB84BD5D4E}">
            <x14:dataBar>
              <x14:cfvo type="min"/>
              <x14:cfvo type="max"/>
              <x14:negativeFillColor auto="1"/>
              <x14:axisColor auto="1"/>
            </x14:dataBar>
          </x14:cfRule>
          <xm:sqref>M49:M54</xm:sqref>
        </x14:conditionalFormatting>
        <x14:conditionalFormatting xmlns:xm="http://schemas.microsoft.com/office/excel/2006/main">
          <x14:cfRule type="dataBar" id="{BDE8DD53-2502-4BF6-AC59-69CA5FE6DA99}">
            <x14:dataBar>
              <x14:cfvo type="min"/>
              <x14:cfvo type="max"/>
              <x14:negativeFillColor auto="1"/>
              <x14:axisColor auto="1"/>
            </x14:dataBar>
          </x14:cfRule>
          <xm:sqref>M76:M89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5"/>
  <sheetViews>
    <sheetView workbookViewId="0">
      <pane ySplit="5" topLeftCell="A26" activePane="bottomLeft" state="frozen"/>
      <selection pane="bottomLeft" activeCell="D42" sqref="D42"/>
    </sheetView>
  </sheetViews>
  <sheetFormatPr defaultRowHeight="14.25"/>
  <cols>
    <col min="1" max="1" width="10" customWidth="1"/>
    <col min="2" max="2" width="34" customWidth="1"/>
    <col min="3" max="3" width="16" customWidth="1"/>
    <col min="4" max="4" width="10" customWidth="1"/>
    <col min="5" max="24" width="5" customWidth="1"/>
    <col min="25" max="29" width="4.625" customWidth="1"/>
  </cols>
  <sheetData>
    <row r="1" spans="1:29" ht="14.25" customHeight="1">
      <c r="A1" s="76" t="s">
        <v>226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4.2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4" spans="1:29" ht="26.1" customHeight="1">
      <c r="A4" s="77" t="s">
        <v>39</v>
      </c>
      <c r="B4" s="79" t="s">
        <v>41</v>
      </c>
      <c r="C4" s="79" t="s">
        <v>43</v>
      </c>
      <c r="D4" s="81" t="s">
        <v>49</v>
      </c>
      <c r="E4" s="73" t="s">
        <v>199</v>
      </c>
      <c r="F4" s="74"/>
      <c r="G4" s="74"/>
      <c r="H4" s="74"/>
      <c r="I4" s="75"/>
      <c r="J4" s="73" t="s">
        <v>206</v>
      </c>
      <c r="K4" s="74"/>
      <c r="L4" s="74"/>
      <c r="M4" s="74"/>
      <c r="N4" s="75"/>
      <c r="O4" s="73" t="s">
        <v>213</v>
      </c>
      <c r="P4" s="74"/>
      <c r="Q4" s="74"/>
      <c r="R4" s="74"/>
      <c r="S4" s="75"/>
      <c r="T4" s="73" t="s">
        <v>220</v>
      </c>
      <c r="U4" s="74"/>
      <c r="V4" s="74"/>
      <c r="W4" s="74"/>
      <c r="X4" s="75"/>
      <c r="Y4" s="73" t="s">
        <v>608</v>
      </c>
      <c r="Z4" s="74"/>
      <c r="AA4" s="74"/>
      <c r="AB4" s="74"/>
      <c r="AC4" s="75"/>
    </row>
    <row r="5" spans="1:29" ht="26.1" customHeight="1">
      <c r="A5" s="78"/>
      <c r="B5" s="80"/>
      <c r="C5" s="80"/>
      <c r="D5" s="82"/>
      <c r="E5" s="49">
        <v>46223</v>
      </c>
      <c r="F5" s="50">
        <v>46224</v>
      </c>
      <c r="G5" s="50">
        <v>46225</v>
      </c>
      <c r="H5" s="50">
        <v>46226</v>
      </c>
      <c r="I5" s="50">
        <v>46227</v>
      </c>
      <c r="J5" s="50">
        <v>46230</v>
      </c>
      <c r="K5" s="50">
        <v>46231</v>
      </c>
      <c r="L5" s="50">
        <v>46232</v>
      </c>
      <c r="M5" s="50">
        <v>46233</v>
      </c>
      <c r="N5" s="50">
        <v>46234</v>
      </c>
      <c r="O5" s="50">
        <v>46237</v>
      </c>
      <c r="P5" s="50">
        <v>46238</v>
      </c>
      <c r="Q5" s="50">
        <v>46239</v>
      </c>
      <c r="R5" s="50">
        <v>46240</v>
      </c>
      <c r="S5" s="50">
        <v>46241</v>
      </c>
      <c r="T5" s="50">
        <v>46244</v>
      </c>
      <c r="U5" s="50">
        <v>46245</v>
      </c>
      <c r="V5" s="50">
        <v>46246</v>
      </c>
      <c r="W5" s="50">
        <v>46247</v>
      </c>
      <c r="X5" s="51">
        <v>46248</v>
      </c>
      <c r="Y5" s="50">
        <v>46251</v>
      </c>
      <c r="Z5" s="50">
        <v>46252</v>
      </c>
      <c r="AA5" s="50">
        <v>46253</v>
      </c>
      <c r="AB5" s="50">
        <v>46254</v>
      </c>
      <c r="AC5" s="51">
        <v>46255</v>
      </c>
    </row>
    <row r="6" spans="1:29" ht="27.95" customHeight="1">
      <c r="A6" s="17" t="s">
        <v>229</v>
      </c>
      <c r="B6" s="58" t="s">
        <v>373</v>
      </c>
      <c r="C6" s="57" t="str">
        <f>VLOOKUP($A6,WBS_계획!$A:$O,6,FALSE)</f>
        <v>공동</v>
      </c>
      <c r="D6" s="20" t="str">
        <f>VLOOKUP($A6,WBS_계획!$A:$O,12,FALSE)</f>
        <v>완료</v>
      </c>
      <c r="E6" s="63" t="str">
        <f>IF(AND(E$5&gt;=VLOOKUP($A6,WBS_계획!$A:$O,7,FALSE()),E$5&lt;=VLOOKUP($A6,WBS_계획!$A:$O,8,FALSE())),"■","")</f>
        <v>■</v>
      </c>
      <c r="F6" s="63" t="str">
        <f>IF(AND(F$5&gt;=VLOOKUP($A6,WBS_계획!$A:$O,7,FALSE()),F$5&lt;=VLOOKUP($A6,WBS_계획!$A:$O,8,FALSE())),"■","")</f>
        <v/>
      </c>
      <c r="G6" s="63" t="str">
        <f>IF(AND(G$5&gt;=VLOOKUP($A6,WBS_계획!$A:$O,7,FALSE()),G$5&lt;=VLOOKUP($A6,WBS_계획!$A:$O,8,FALSE())),"■","")</f>
        <v/>
      </c>
      <c r="H6" s="63" t="str">
        <f>IF(AND(H$5&gt;=VLOOKUP($A6,WBS_계획!$A:$O,7,FALSE()),H$5&lt;=VLOOKUP($A6,WBS_계획!$A:$O,8,FALSE())),"■","")</f>
        <v/>
      </c>
      <c r="I6" s="63" t="str">
        <f>IF(AND(I$5&gt;=VLOOKUP($A6,WBS_계획!$A:$O,7,FALSE()),I$5&lt;=VLOOKUP($A6,WBS_계획!$A:$O,8,FALSE())),"■","")</f>
        <v/>
      </c>
      <c r="J6" s="63" t="str">
        <f>IF(AND(J$5&gt;=VLOOKUP($A6,WBS_계획!$A:$O,7,FALSE()),J$5&lt;=VLOOKUP($A6,WBS_계획!$A:$O,8,FALSE())),"■","")</f>
        <v/>
      </c>
      <c r="K6" s="63" t="str">
        <f>IF(AND(K$5&gt;=VLOOKUP($A6,WBS_계획!$A:$O,7,FALSE()),K$5&lt;=VLOOKUP($A6,WBS_계획!$A:$O,8,FALSE())),"■","")</f>
        <v/>
      </c>
      <c r="L6" s="63" t="str">
        <f>IF(AND(L$5&gt;=VLOOKUP($A6,WBS_계획!$A:$O,7,FALSE()),L$5&lt;=VLOOKUP($A6,WBS_계획!$A:$O,8,FALSE())),"■","")</f>
        <v/>
      </c>
      <c r="M6" s="63" t="str">
        <f>IF(AND(M$5&gt;=VLOOKUP($A6,WBS_계획!$A:$O,7,FALSE()),M$5&lt;=VLOOKUP($A6,WBS_계획!$A:$O,8,FALSE())),"■","")</f>
        <v/>
      </c>
      <c r="N6" s="63" t="str">
        <f>IF(AND(N$5&gt;=VLOOKUP($A6,WBS_계획!$A:$O,7,FALSE()),N$5&lt;=VLOOKUP($A6,WBS_계획!$A:$O,8,FALSE())),"■","")</f>
        <v/>
      </c>
      <c r="O6" s="63" t="str">
        <f>IF(AND(O$5&gt;=VLOOKUP($A6,WBS_계획!$A:$O,7,FALSE()),O$5&lt;=VLOOKUP($A6,WBS_계획!$A:$O,8,FALSE())),"■","")</f>
        <v/>
      </c>
      <c r="P6" s="63" t="str">
        <f>IF(AND(P$5&gt;=VLOOKUP($A6,WBS_계획!$A:$O,7,FALSE()),P$5&lt;=VLOOKUP($A6,WBS_계획!$A:$O,8,FALSE())),"■","")</f>
        <v/>
      </c>
      <c r="Q6" s="63" t="str">
        <f>IF(AND(Q$5&gt;=VLOOKUP($A6,WBS_계획!$A:$O,7,FALSE()),Q$5&lt;=VLOOKUP($A6,WBS_계획!$A:$O,8,FALSE())),"■","")</f>
        <v/>
      </c>
      <c r="R6" s="63" t="str">
        <f>IF(AND(R$5&gt;=VLOOKUP($A6,WBS_계획!$A:$O,7,FALSE()),R$5&lt;=VLOOKUP($A6,WBS_계획!$A:$O,8,FALSE())),"■","")</f>
        <v/>
      </c>
      <c r="S6" s="63" t="str">
        <f>IF(AND(S$5&gt;=VLOOKUP($A6,WBS_계획!$A:$O,7,FALSE()),S$5&lt;=VLOOKUP($A6,WBS_계획!$A:$O,8,FALSE())),"■","")</f>
        <v/>
      </c>
      <c r="T6" s="63" t="str">
        <f>IF(AND(T$5&gt;=VLOOKUP($A6,WBS_계획!$A:$O,7,FALSE()),T$5&lt;=VLOOKUP($A6,WBS_계획!$A:$O,8,FALSE())),"■","")</f>
        <v/>
      </c>
      <c r="U6" s="63" t="str">
        <f>IF(AND(U$5&gt;=VLOOKUP($A6,WBS_계획!$A:$O,7,FALSE()),U$5&lt;=VLOOKUP($A6,WBS_계획!$A:$O,8,FALSE())),"■","")</f>
        <v/>
      </c>
      <c r="V6" s="63" t="str">
        <f>IF(AND(V$5&gt;=VLOOKUP($A6,WBS_계획!$A:$O,7,FALSE()),V$5&lt;=VLOOKUP($A6,WBS_계획!$A:$O,8,FALSE())),"■","")</f>
        <v/>
      </c>
      <c r="W6" s="63" t="str">
        <f>IF(AND(W$5&gt;=VLOOKUP($A6,WBS_계획!$A:$O,7,FALSE()),W$5&lt;=VLOOKUP($A6,WBS_계획!$A:$O,8,FALSE())),"■","")</f>
        <v/>
      </c>
      <c r="X6" s="64" t="str">
        <f>IF(AND(X$5&gt;=VLOOKUP($A6,WBS_계획!$A:$O,7,FALSE()),X$5&lt;=VLOOKUP($A6,WBS_계획!$A:$O,8,FALSE())),"■","")</f>
        <v/>
      </c>
      <c r="Y6" s="63" t="str">
        <f>IF(AND(Y$5&gt;=VLOOKUP($A6,WBS_계획!$A:$O,7,FALSE()),Y$5&lt;=VLOOKUP($A6,WBS_계획!$A:$O,8,FALSE())),"■","")</f>
        <v/>
      </c>
      <c r="Z6" s="63" t="str">
        <f>IF(AND(Z$5&gt;=VLOOKUP($A6,WBS_계획!$A:$O,7,FALSE()),Z$5&lt;=VLOOKUP($A6,WBS_계획!$A:$O,8,FALSE())),"■","")</f>
        <v/>
      </c>
      <c r="AA6" s="63" t="str">
        <f>IF(AND(AA$5&gt;=VLOOKUP($A6,WBS_계획!$A:$O,7,FALSE()),AA$5&lt;=VLOOKUP($A6,WBS_계획!$A:$O,8,FALSE())),"■","")</f>
        <v/>
      </c>
      <c r="AB6" s="63" t="str">
        <f>IF(AND(AB$5&gt;=VLOOKUP($A6,WBS_계획!$A:$O,7,FALSE()),AB$5&lt;=VLOOKUP($A6,WBS_계획!$A:$O,8,FALSE())),"■","")</f>
        <v/>
      </c>
      <c r="AC6" s="64" t="str">
        <f>IF(AND(AC$5&gt;=VLOOKUP($A6,WBS_계획!$A:$O,7,FALSE()),AC$5&lt;=VLOOKUP($A6,WBS_계획!$A:$O,8,FALSE())),"■","")</f>
        <v/>
      </c>
    </row>
    <row r="7" spans="1:29" ht="27.95" customHeight="1">
      <c r="A7" s="18" t="s">
        <v>246</v>
      </c>
      <c r="B7" s="13" t="s">
        <v>64</v>
      </c>
      <c r="C7" s="57" t="str">
        <f>VLOOKUP($A7,WBS_계획!$A:$O,6,FALSE)</f>
        <v>김예은</v>
      </c>
      <c r="D7" s="20" t="str">
        <f>VLOOKUP($A7,WBS_계획!$A:$O,12,FALSE)</f>
        <v>완료</v>
      </c>
      <c r="E7" s="65" t="str">
        <f>IF(AND(E$5&gt;=VLOOKUP($A7,WBS_계획!$A:$O,7,FALSE()),E$5&lt;=VLOOKUP($A7,WBS_계획!$A:$O,8,FALSE())),"■","")</f>
        <v>■</v>
      </c>
      <c r="F7" s="65" t="str">
        <f>IF(AND(F$5&gt;=VLOOKUP($A7,WBS_계획!$A:$O,7,FALSE()),F$5&lt;=VLOOKUP($A7,WBS_계획!$A:$O,8,FALSE())),"■","")</f>
        <v/>
      </c>
      <c r="G7" s="65" t="str">
        <f>IF(AND(G$5&gt;=VLOOKUP($A7,WBS_계획!$A:$O,7,FALSE()),G$5&lt;=VLOOKUP($A7,WBS_계획!$A:$O,8,FALSE())),"■","")</f>
        <v/>
      </c>
      <c r="H7" s="65" t="str">
        <f>IF(AND(H$5&gt;=VLOOKUP($A7,WBS_계획!$A:$O,7,FALSE()),H$5&lt;=VLOOKUP($A7,WBS_계획!$A:$O,8,FALSE())),"■","")</f>
        <v/>
      </c>
      <c r="I7" s="65" t="str">
        <f>IF(AND(I$5&gt;=VLOOKUP($A7,WBS_계획!$A:$O,7,FALSE()),I$5&lt;=VLOOKUP($A7,WBS_계획!$A:$O,8,FALSE())),"■","")</f>
        <v/>
      </c>
      <c r="J7" s="65" t="str">
        <f>IF(AND(J$5&gt;=VLOOKUP($A7,WBS_계획!$A:$O,7,FALSE()),J$5&lt;=VLOOKUP($A7,WBS_계획!$A:$O,8,FALSE())),"■","")</f>
        <v/>
      </c>
      <c r="K7" s="65" t="str">
        <f>IF(AND(K$5&gt;=VLOOKUP($A7,WBS_계획!$A:$O,7,FALSE()),K$5&lt;=VLOOKUP($A7,WBS_계획!$A:$O,8,FALSE())),"■","")</f>
        <v/>
      </c>
      <c r="L7" s="65" t="str">
        <f>IF(AND(L$5&gt;=VLOOKUP($A7,WBS_계획!$A:$O,7,FALSE()),L$5&lt;=VLOOKUP($A7,WBS_계획!$A:$O,8,FALSE())),"■","")</f>
        <v/>
      </c>
      <c r="M7" s="65" t="str">
        <f>IF(AND(M$5&gt;=VLOOKUP($A7,WBS_계획!$A:$O,7,FALSE()),M$5&lt;=VLOOKUP($A7,WBS_계획!$A:$O,8,FALSE())),"■","")</f>
        <v/>
      </c>
      <c r="N7" s="65" t="str">
        <f>IF(AND(N$5&gt;=VLOOKUP($A7,WBS_계획!$A:$O,7,FALSE()),N$5&lt;=VLOOKUP($A7,WBS_계획!$A:$O,8,FALSE())),"■","")</f>
        <v/>
      </c>
      <c r="O7" s="65" t="str">
        <f>IF(AND(O$5&gt;=VLOOKUP($A7,WBS_계획!$A:$O,7,FALSE()),O$5&lt;=VLOOKUP($A7,WBS_계획!$A:$O,8,FALSE())),"■","")</f>
        <v/>
      </c>
      <c r="P7" s="65" t="str">
        <f>IF(AND(P$5&gt;=VLOOKUP($A7,WBS_계획!$A:$O,7,FALSE()),P$5&lt;=VLOOKUP($A7,WBS_계획!$A:$O,8,FALSE())),"■","")</f>
        <v/>
      </c>
      <c r="Q7" s="65" t="str">
        <f>IF(AND(Q$5&gt;=VLOOKUP($A7,WBS_계획!$A:$O,7,FALSE()),Q$5&lt;=VLOOKUP($A7,WBS_계획!$A:$O,8,FALSE())),"■","")</f>
        <v/>
      </c>
      <c r="R7" s="65" t="str">
        <f>IF(AND(R$5&gt;=VLOOKUP($A7,WBS_계획!$A:$O,7,FALSE()),R$5&lt;=VLOOKUP($A7,WBS_계획!$A:$O,8,FALSE())),"■","")</f>
        <v/>
      </c>
      <c r="S7" s="65" t="str">
        <f>IF(AND(S$5&gt;=VLOOKUP($A7,WBS_계획!$A:$O,7,FALSE()),S$5&lt;=VLOOKUP($A7,WBS_계획!$A:$O,8,FALSE())),"■","")</f>
        <v/>
      </c>
      <c r="T7" s="65" t="str">
        <f>IF(AND(T$5&gt;=VLOOKUP($A7,WBS_계획!$A:$O,7,FALSE()),T$5&lt;=VLOOKUP($A7,WBS_계획!$A:$O,8,FALSE())),"■","")</f>
        <v/>
      </c>
      <c r="U7" s="65" t="str">
        <f>IF(AND(U$5&gt;=VLOOKUP($A7,WBS_계획!$A:$O,7,FALSE()),U$5&lt;=VLOOKUP($A7,WBS_계획!$A:$O,8,FALSE())),"■","")</f>
        <v/>
      </c>
      <c r="V7" s="65" t="str">
        <f>IF(AND(V$5&gt;=VLOOKUP($A7,WBS_계획!$A:$O,7,FALSE()),V$5&lt;=VLOOKUP($A7,WBS_계획!$A:$O,8,FALSE())),"■","")</f>
        <v/>
      </c>
      <c r="W7" s="65" t="str">
        <f>IF(AND(W$5&gt;=VLOOKUP($A7,WBS_계획!$A:$O,7,FALSE()),W$5&lt;=VLOOKUP($A7,WBS_계획!$A:$O,8,FALSE())),"■","")</f>
        <v/>
      </c>
      <c r="X7" s="66" t="str">
        <f>IF(AND(X$5&gt;=VLOOKUP($A7,WBS_계획!$A:$O,7,FALSE()),X$5&lt;=VLOOKUP($A7,WBS_계획!$A:$O,8,FALSE())),"■","")</f>
        <v/>
      </c>
      <c r="Y7" s="65" t="str">
        <f>IF(AND(Y$5&gt;=VLOOKUP($A7,WBS_계획!$A:$O,7,FALSE()),Y$5&lt;=VLOOKUP($A7,WBS_계획!$A:$O,8,FALSE())),"■","")</f>
        <v/>
      </c>
      <c r="Z7" s="65" t="str">
        <f>IF(AND(Z$5&gt;=VLOOKUP($A7,WBS_계획!$A:$O,7,FALSE()),Z$5&lt;=VLOOKUP($A7,WBS_계획!$A:$O,8,FALSE())),"■","")</f>
        <v/>
      </c>
      <c r="AA7" s="65" t="str">
        <f>IF(AND(AA$5&gt;=VLOOKUP($A7,WBS_계획!$A:$O,7,FALSE()),AA$5&lt;=VLOOKUP($A7,WBS_계획!$A:$O,8,FALSE())),"■","")</f>
        <v/>
      </c>
      <c r="AB7" s="65" t="str">
        <f>IF(AND(AB$5&gt;=VLOOKUP($A7,WBS_계획!$A:$O,7,FALSE()),AB$5&lt;=VLOOKUP($A7,WBS_계획!$A:$O,8,FALSE())),"■","")</f>
        <v/>
      </c>
      <c r="AC7" s="66" t="str">
        <f>IF(AND(AC$5&gt;=VLOOKUP($A7,WBS_계획!$A:$O,7,FALSE()),AC$5&lt;=VLOOKUP($A7,WBS_계획!$A:$O,8,FALSE())),"■","")</f>
        <v/>
      </c>
    </row>
    <row r="8" spans="1:29" ht="27.95" customHeight="1">
      <c r="A8" s="18" t="s">
        <v>257</v>
      </c>
      <c r="B8" s="13" t="s">
        <v>331</v>
      </c>
      <c r="C8" s="57" t="str">
        <f>VLOOKUP($A8,WBS_계획!$A:$O,6,FALSE)</f>
        <v>김예은</v>
      </c>
      <c r="D8" s="20" t="str">
        <f>VLOOKUP($A8,WBS_계획!$A:$O,12,FALSE)</f>
        <v>완료</v>
      </c>
      <c r="E8" s="65" t="str">
        <f>IF(AND(E$5&gt;=VLOOKUP($A8,WBS_계획!$A:$O,7,FALSE()),E$5&lt;=VLOOKUP($A8,WBS_계획!$A:$O,8,FALSE())),"■","")</f>
        <v>■</v>
      </c>
      <c r="F8" s="65" t="str">
        <f>IF(AND(F$5&gt;=VLOOKUP($A8,WBS_계획!$A:$O,7,FALSE()),F$5&lt;=VLOOKUP($A8,WBS_계획!$A:$O,8,FALSE())),"■","")</f>
        <v>■</v>
      </c>
      <c r="G8" s="65" t="str">
        <f>IF(AND(G$5&gt;=VLOOKUP($A8,WBS_계획!$A:$O,7,FALSE()),G$5&lt;=VLOOKUP($A8,WBS_계획!$A:$O,8,FALSE())),"■","")</f>
        <v>■</v>
      </c>
      <c r="H8" s="65" t="str">
        <f>IF(AND(H$5&gt;=VLOOKUP($A8,WBS_계획!$A:$O,7,FALSE()),H$5&lt;=VLOOKUP($A8,WBS_계획!$A:$O,8,FALSE())),"■","")</f>
        <v/>
      </c>
      <c r="I8" s="65" t="str">
        <f>IF(AND(I$5&gt;=VLOOKUP($A8,WBS_계획!$A:$O,7,FALSE()),I$5&lt;=VLOOKUP($A8,WBS_계획!$A:$O,8,FALSE())),"■","")</f>
        <v/>
      </c>
      <c r="J8" s="65" t="str">
        <f>IF(AND(J$5&gt;=VLOOKUP($A8,WBS_계획!$A:$O,7,FALSE()),J$5&lt;=VLOOKUP($A8,WBS_계획!$A:$O,8,FALSE())),"■","")</f>
        <v/>
      </c>
      <c r="K8" s="65" t="str">
        <f>IF(AND(K$5&gt;=VLOOKUP($A8,WBS_계획!$A:$O,7,FALSE()),K$5&lt;=VLOOKUP($A8,WBS_계획!$A:$O,8,FALSE())),"■","")</f>
        <v/>
      </c>
      <c r="L8" s="65" t="str">
        <f>IF(AND(L$5&gt;=VLOOKUP($A8,WBS_계획!$A:$O,7,FALSE()),L$5&lt;=VLOOKUP($A8,WBS_계획!$A:$O,8,FALSE())),"■","")</f>
        <v/>
      </c>
      <c r="M8" s="65" t="str">
        <f>IF(AND(M$5&gt;=VLOOKUP($A8,WBS_계획!$A:$O,7,FALSE()),M$5&lt;=VLOOKUP($A8,WBS_계획!$A:$O,8,FALSE())),"■","")</f>
        <v/>
      </c>
      <c r="N8" s="65" t="str">
        <f>IF(AND(N$5&gt;=VLOOKUP($A8,WBS_계획!$A:$O,7,FALSE()),N$5&lt;=VLOOKUP($A8,WBS_계획!$A:$O,8,FALSE())),"■","")</f>
        <v/>
      </c>
      <c r="O8" s="65" t="str">
        <f>IF(AND(O$5&gt;=VLOOKUP($A8,WBS_계획!$A:$O,7,FALSE()),O$5&lt;=VLOOKUP($A8,WBS_계획!$A:$O,8,FALSE())),"■","")</f>
        <v/>
      </c>
      <c r="P8" s="65" t="str">
        <f>IF(AND(P$5&gt;=VLOOKUP($A8,WBS_계획!$A:$O,7,FALSE()),P$5&lt;=VLOOKUP($A8,WBS_계획!$A:$O,8,FALSE())),"■","")</f>
        <v/>
      </c>
      <c r="Q8" s="65" t="str">
        <f>IF(AND(Q$5&gt;=VLOOKUP($A8,WBS_계획!$A:$O,7,FALSE()),Q$5&lt;=VLOOKUP($A8,WBS_계획!$A:$O,8,FALSE())),"■","")</f>
        <v/>
      </c>
      <c r="R8" s="65" t="str">
        <f>IF(AND(R$5&gt;=VLOOKUP($A8,WBS_계획!$A:$O,7,FALSE()),R$5&lt;=VLOOKUP($A8,WBS_계획!$A:$O,8,FALSE())),"■","")</f>
        <v/>
      </c>
      <c r="S8" s="65" t="str">
        <f>IF(AND(S$5&gt;=VLOOKUP($A8,WBS_계획!$A:$O,7,FALSE()),S$5&lt;=VLOOKUP($A8,WBS_계획!$A:$O,8,FALSE())),"■","")</f>
        <v/>
      </c>
      <c r="T8" s="65" t="str">
        <f>IF(AND(T$5&gt;=VLOOKUP($A8,WBS_계획!$A:$O,7,FALSE()),T$5&lt;=VLOOKUP($A8,WBS_계획!$A:$O,8,FALSE())),"■","")</f>
        <v/>
      </c>
      <c r="U8" s="65" t="str">
        <f>IF(AND(U$5&gt;=VLOOKUP($A8,WBS_계획!$A:$O,7,FALSE()),U$5&lt;=VLOOKUP($A8,WBS_계획!$A:$O,8,FALSE())),"■","")</f>
        <v/>
      </c>
      <c r="V8" s="65" t="str">
        <f>IF(AND(V$5&gt;=VLOOKUP($A8,WBS_계획!$A:$O,7,FALSE()),V$5&lt;=VLOOKUP($A8,WBS_계획!$A:$O,8,FALSE())),"■","")</f>
        <v/>
      </c>
      <c r="W8" s="65" t="str">
        <f>IF(AND(W$5&gt;=VLOOKUP($A8,WBS_계획!$A:$O,7,FALSE()),W$5&lt;=VLOOKUP($A8,WBS_계획!$A:$O,8,FALSE())),"■","")</f>
        <v/>
      </c>
      <c r="X8" s="66" t="str">
        <f>IF(AND(X$5&gt;=VLOOKUP($A8,WBS_계획!$A:$O,7,FALSE()),X$5&lt;=VLOOKUP($A8,WBS_계획!$A:$O,8,FALSE())),"■","")</f>
        <v/>
      </c>
      <c r="Y8" s="65" t="str">
        <f>IF(AND(Y$5&gt;=VLOOKUP($A8,WBS_계획!$A:$O,7,FALSE()),Y$5&lt;=VLOOKUP($A8,WBS_계획!$A:$O,8,FALSE())),"■","")</f>
        <v/>
      </c>
      <c r="Z8" s="65" t="str">
        <f>IF(AND(Z$5&gt;=VLOOKUP($A8,WBS_계획!$A:$O,7,FALSE()),Z$5&lt;=VLOOKUP($A8,WBS_계획!$A:$O,8,FALSE())),"■","")</f>
        <v/>
      </c>
      <c r="AA8" s="65" t="str">
        <f>IF(AND(AA$5&gt;=VLOOKUP($A8,WBS_계획!$A:$O,7,FALSE()),AA$5&lt;=VLOOKUP($A8,WBS_계획!$A:$O,8,FALSE())),"■","")</f>
        <v/>
      </c>
      <c r="AB8" s="65" t="str">
        <f>IF(AND(AB$5&gt;=VLOOKUP($A8,WBS_계획!$A:$O,7,FALSE()),AB$5&lt;=VLOOKUP($A8,WBS_계획!$A:$O,8,FALSE())),"■","")</f>
        <v/>
      </c>
      <c r="AC8" s="66" t="str">
        <f>IF(AND(AC$5&gt;=VLOOKUP($A8,WBS_계획!$A:$O,7,FALSE()),AC$5&lt;=VLOOKUP($A8,WBS_계획!$A:$O,8,FALSE())),"■","")</f>
        <v/>
      </c>
    </row>
    <row r="9" spans="1:29" ht="27.95" customHeight="1">
      <c r="A9" s="18" t="s">
        <v>256</v>
      </c>
      <c r="B9" s="13" t="s">
        <v>330</v>
      </c>
      <c r="C9" s="57" t="str">
        <f>VLOOKUP($A9,WBS_계획!$A:$O,6,FALSE)</f>
        <v>강유나</v>
      </c>
      <c r="D9" s="20" t="str">
        <f>VLOOKUP($A9,WBS_계획!$A:$O,12,FALSE)</f>
        <v>완료</v>
      </c>
      <c r="E9" s="65" t="str">
        <f>IF(AND(E$5&gt;=VLOOKUP($A9,WBS_계획!$A:$O,7,FALSE()),E$5&lt;=VLOOKUP($A9,WBS_계획!$A:$O,8,FALSE())),"■","")</f>
        <v>■</v>
      </c>
      <c r="F9" s="65" t="str">
        <f>IF(AND(F$5&gt;=VLOOKUP($A9,WBS_계획!$A:$O,7,FALSE()),F$5&lt;=VLOOKUP($A9,WBS_계획!$A:$O,8,FALSE())),"■","")</f>
        <v>■</v>
      </c>
      <c r="G9" s="65" t="str">
        <f>IF(AND(G$5&gt;=VLOOKUP($A9,WBS_계획!$A:$O,7,FALSE()),G$5&lt;=VLOOKUP($A9,WBS_계획!$A:$O,8,FALSE())),"■","")</f>
        <v>■</v>
      </c>
      <c r="H9" s="65" t="str">
        <f>IF(AND(H$5&gt;=VLOOKUP($A9,WBS_계획!$A:$O,7,FALSE()),H$5&lt;=VLOOKUP($A9,WBS_계획!$A:$O,8,FALSE())),"■","")</f>
        <v>■</v>
      </c>
      <c r="I9" s="65" t="str">
        <f>IF(AND(I$5&gt;=VLOOKUP($A9,WBS_계획!$A:$O,7,FALSE()),I$5&lt;=VLOOKUP($A9,WBS_계획!$A:$O,8,FALSE())),"■","")</f>
        <v>■</v>
      </c>
      <c r="J9" s="65" t="str">
        <f>IF(AND(J$5&gt;=VLOOKUP($A9,WBS_계획!$A:$O,7,FALSE()),J$5&lt;=VLOOKUP($A9,WBS_계획!$A:$O,8,FALSE())),"■","")</f>
        <v>■</v>
      </c>
      <c r="K9" s="65" t="str">
        <f>IF(AND(K$5&gt;=VLOOKUP($A9,WBS_계획!$A:$O,7,FALSE()),K$5&lt;=VLOOKUP($A9,WBS_계획!$A:$O,8,FALSE())),"■","")</f>
        <v>■</v>
      </c>
      <c r="L9" s="65" t="str">
        <f>IF(AND(L$5&gt;=VLOOKUP($A9,WBS_계획!$A:$O,7,FALSE()),L$5&lt;=VLOOKUP($A9,WBS_계획!$A:$O,8,FALSE())),"■","")</f>
        <v>■</v>
      </c>
      <c r="M9" s="65" t="str">
        <f>IF(AND(M$5&gt;=VLOOKUP($A9,WBS_계획!$A:$O,7,FALSE()),M$5&lt;=VLOOKUP($A9,WBS_계획!$A:$O,8,FALSE())),"■","")</f>
        <v>■</v>
      </c>
      <c r="N9" s="65" t="str">
        <f>IF(AND(N$5&gt;=VLOOKUP($A9,WBS_계획!$A:$O,7,FALSE()),N$5&lt;=VLOOKUP($A9,WBS_계획!$A:$O,8,FALSE())),"■","")</f>
        <v>■</v>
      </c>
      <c r="O9" s="65" t="str">
        <f>IF(AND(O$5&gt;=VLOOKUP($A9,WBS_계획!$A:$O,7,FALSE()),O$5&lt;=VLOOKUP($A9,WBS_계획!$A:$O,8,FALSE())),"■","")</f>
        <v/>
      </c>
      <c r="P9" s="65" t="str">
        <f>IF(AND(P$5&gt;=VLOOKUP($A9,WBS_계획!$A:$O,7,FALSE()),P$5&lt;=VLOOKUP($A9,WBS_계획!$A:$O,8,FALSE())),"■","")</f>
        <v/>
      </c>
      <c r="Q9" s="65" t="str">
        <f>IF(AND(Q$5&gt;=VLOOKUP($A9,WBS_계획!$A:$O,7,FALSE()),Q$5&lt;=VLOOKUP($A9,WBS_계획!$A:$O,8,FALSE())),"■","")</f>
        <v/>
      </c>
      <c r="R9" s="65" t="str">
        <f>IF(AND(R$5&gt;=VLOOKUP($A9,WBS_계획!$A:$O,7,FALSE()),R$5&lt;=VLOOKUP($A9,WBS_계획!$A:$O,8,FALSE())),"■","")</f>
        <v/>
      </c>
      <c r="S9" s="65" t="str">
        <f>IF(AND(S$5&gt;=VLOOKUP($A9,WBS_계획!$A:$O,7,FALSE()),S$5&lt;=VLOOKUP($A9,WBS_계획!$A:$O,8,FALSE())),"■","")</f>
        <v/>
      </c>
      <c r="T9" s="65" t="str">
        <f>IF(AND(T$5&gt;=VLOOKUP($A9,WBS_계획!$A:$O,7,FALSE()),T$5&lt;=VLOOKUP($A9,WBS_계획!$A:$O,8,FALSE())),"■","")</f>
        <v/>
      </c>
      <c r="U9" s="65" t="str">
        <f>IF(AND(U$5&gt;=VLOOKUP($A9,WBS_계획!$A:$O,7,FALSE()),U$5&lt;=VLOOKUP($A9,WBS_계획!$A:$O,8,FALSE())),"■","")</f>
        <v/>
      </c>
      <c r="V9" s="65" t="str">
        <f>IF(AND(V$5&gt;=VLOOKUP($A9,WBS_계획!$A:$O,7,FALSE()),V$5&lt;=VLOOKUP($A9,WBS_계획!$A:$O,8,FALSE())),"■","")</f>
        <v/>
      </c>
      <c r="W9" s="65" t="str">
        <f>IF(AND(W$5&gt;=VLOOKUP($A9,WBS_계획!$A:$O,7,FALSE()),W$5&lt;=VLOOKUP($A9,WBS_계획!$A:$O,8,FALSE())),"■","")</f>
        <v/>
      </c>
      <c r="X9" s="66" t="str">
        <f>IF(AND(X$5&gt;=VLOOKUP($A9,WBS_계획!$A:$O,7,FALSE()),X$5&lt;=VLOOKUP($A9,WBS_계획!$A:$O,8,FALSE())),"■","")</f>
        <v/>
      </c>
      <c r="Y9" s="65" t="str">
        <f>IF(AND(Y$5&gt;=VLOOKUP($A9,WBS_계획!$A:$O,7,FALSE()),Y$5&lt;=VLOOKUP($A9,WBS_계획!$A:$O,8,FALSE())),"■","")</f>
        <v/>
      </c>
      <c r="Z9" s="65" t="str">
        <f>IF(AND(Z$5&gt;=VLOOKUP($A9,WBS_계획!$A:$O,7,FALSE()),Z$5&lt;=VLOOKUP($A9,WBS_계획!$A:$O,8,FALSE())),"■","")</f>
        <v/>
      </c>
      <c r="AA9" s="65" t="str">
        <f>IF(AND(AA$5&gt;=VLOOKUP($A9,WBS_계획!$A:$O,7,FALSE()),AA$5&lt;=VLOOKUP($A9,WBS_계획!$A:$O,8,FALSE())),"■","")</f>
        <v/>
      </c>
      <c r="AB9" s="65" t="str">
        <f>IF(AND(AB$5&gt;=VLOOKUP($A9,WBS_계획!$A:$O,7,FALSE()),AB$5&lt;=VLOOKUP($A9,WBS_계획!$A:$O,8,FALSE())),"■","")</f>
        <v/>
      </c>
      <c r="AC9" s="66" t="str">
        <f>IF(AND(AC$5&gt;=VLOOKUP($A9,WBS_계획!$A:$O,7,FALSE()),AC$5&lt;=VLOOKUP($A9,WBS_계획!$A:$O,8,FALSE())),"■","")</f>
        <v/>
      </c>
    </row>
    <row r="10" spans="1:29" ht="27.95" customHeight="1">
      <c r="A10" s="18" t="s">
        <v>245</v>
      </c>
      <c r="B10" s="13" t="s">
        <v>312</v>
      </c>
      <c r="C10" s="57" t="str">
        <f>VLOOKUP($A10,WBS_계획!$A:$O,6,FALSE)</f>
        <v>강유나</v>
      </c>
      <c r="D10" s="20" t="str">
        <f>VLOOKUP($A10,WBS_계획!$A:$O,12,FALSE)</f>
        <v>완료</v>
      </c>
      <c r="E10" s="65" t="str">
        <f>IF(AND(E$5&gt;=VLOOKUP($A10,WBS_계획!$A:$O,7,FALSE()),E$5&lt;=VLOOKUP($A10,WBS_계획!$A:$O,8,FALSE())),"■","")</f>
        <v/>
      </c>
      <c r="F10" s="65" t="str">
        <f>IF(AND(F$5&gt;=VLOOKUP($A10,WBS_계획!$A:$O,7,FALSE()),F$5&lt;=VLOOKUP($A10,WBS_계획!$A:$O,8,FALSE())),"■","")</f>
        <v>■</v>
      </c>
      <c r="G10" s="65" t="str">
        <f>IF(AND(G$5&gt;=VLOOKUP($A10,WBS_계획!$A:$O,7,FALSE()),G$5&lt;=VLOOKUP($A10,WBS_계획!$A:$O,8,FALSE())),"■","")</f>
        <v/>
      </c>
      <c r="H10" s="65" t="str">
        <f>IF(AND(H$5&gt;=VLOOKUP($A10,WBS_계획!$A:$O,7,FALSE()),H$5&lt;=VLOOKUP($A10,WBS_계획!$A:$O,8,FALSE())),"■","")</f>
        <v/>
      </c>
      <c r="I10" s="65" t="str">
        <f>IF(AND(I$5&gt;=VLOOKUP($A10,WBS_계획!$A:$O,7,FALSE()),I$5&lt;=VLOOKUP($A10,WBS_계획!$A:$O,8,FALSE())),"■","")</f>
        <v/>
      </c>
      <c r="J10" s="65" t="str">
        <f>IF(AND(J$5&gt;=VLOOKUP($A10,WBS_계획!$A:$O,7,FALSE()),J$5&lt;=VLOOKUP($A10,WBS_계획!$A:$O,8,FALSE())),"■","")</f>
        <v/>
      </c>
      <c r="K10" s="65" t="str">
        <f>IF(AND(K$5&gt;=VLOOKUP($A10,WBS_계획!$A:$O,7,FALSE()),K$5&lt;=VLOOKUP($A10,WBS_계획!$A:$O,8,FALSE())),"■","")</f>
        <v/>
      </c>
      <c r="L10" s="65" t="str">
        <f>IF(AND(L$5&gt;=VLOOKUP($A10,WBS_계획!$A:$O,7,FALSE()),L$5&lt;=VLOOKUP($A10,WBS_계획!$A:$O,8,FALSE())),"■","")</f>
        <v/>
      </c>
      <c r="M10" s="65" t="str">
        <f>IF(AND(M$5&gt;=VLOOKUP($A10,WBS_계획!$A:$O,7,FALSE()),M$5&lt;=VLOOKUP($A10,WBS_계획!$A:$O,8,FALSE())),"■","")</f>
        <v/>
      </c>
      <c r="N10" s="65" t="str">
        <f>IF(AND(N$5&gt;=VLOOKUP($A10,WBS_계획!$A:$O,7,FALSE()),N$5&lt;=VLOOKUP($A10,WBS_계획!$A:$O,8,FALSE())),"■","")</f>
        <v/>
      </c>
      <c r="O10" s="65" t="str">
        <f>IF(AND(O$5&gt;=VLOOKUP($A10,WBS_계획!$A:$O,7,FALSE()),O$5&lt;=VLOOKUP($A10,WBS_계획!$A:$O,8,FALSE())),"■","")</f>
        <v/>
      </c>
      <c r="P10" s="65" t="str">
        <f>IF(AND(P$5&gt;=VLOOKUP($A10,WBS_계획!$A:$O,7,FALSE()),P$5&lt;=VLOOKUP($A10,WBS_계획!$A:$O,8,FALSE())),"■","")</f>
        <v/>
      </c>
      <c r="Q10" s="65" t="str">
        <f>IF(AND(Q$5&gt;=VLOOKUP($A10,WBS_계획!$A:$O,7,FALSE()),Q$5&lt;=VLOOKUP($A10,WBS_계획!$A:$O,8,FALSE())),"■","")</f>
        <v/>
      </c>
      <c r="R10" s="65" t="str">
        <f>IF(AND(R$5&gt;=VLOOKUP($A10,WBS_계획!$A:$O,7,FALSE()),R$5&lt;=VLOOKUP($A10,WBS_계획!$A:$O,8,FALSE())),"■","")</f>
        <v/>
      </c>
      <c r="S10" s="65" t="str">
        <f>IF(AND(S$5&gt;=VLOOKUP($A10,WBS_계획!$A:$O,7,FALSE()),S$5&lt;=VLOOKUP($A10,WBS_계획!$A:$O,8,FALSE())),"■","")</f>
        <v/>
      </c>
      <c r="T10" s="65" t="str">
        <f>IF(AND(T$5&gt;=VLOOKUP($A10,WBS_계획!$A:$O,7,FALSE()),T$5&lt;=VLOOKUP($A10,WBS_계획!$A:$O,8,FALSE())),"■","")</f>
        <v/>
      </c>
      <c r="U10" s="65" t="str">
        <f>IF(AND(U$5&gt;=VLOOKUP($A10,WBS_계획!$A:$O,7,FALSE()),U$5&lt;=VLOOKUP($A10,WBS_계획!$A:$O,8,FALSE())),"■","")</f>
        <v/>
      </c>
      <c r="V10" s="65" t="str">
        <f>IF(AND(V$5&gt;=VLOOKUP($A10,WBS_계획!$A:$O,7,FALSE()),V$5&lt;=VLOOKUP($A10,WBS_계획!$A:$O,8,FALSE())),"■","")</f>
        <v/>
      </c>
      <c r="W10" s="65" t="str">
        <f>IF(AND(W$5&gt;=VLOOKUP($A10,WBS_계획!$A:$O,7,FALSE()),W$5&lt;=VLOOKUP($A10,WBS_계획!$A:$O,8,FALSE())),"■","")</f>
        <v/>
      </c>
      <c r="X10" s="66" t="str">
        <f>IF(AND(X$5&gt;=VLOOKUP($A10,WBS_계획!$A:$O,7,FALSE()),X$5&lt;=VLOOKUP($A10,WBS_계획!$A:$O,8,FALSE())),"■","")</f>
        <v/>
      </c>
      <c r="Y10" s="65" t="str">
        <f>IF(AND(Y$5&gt;=VLOOKUP($A10,WBS_계획!$A:$O,7,FALSE()),Y$5&lt;=VLOOKUP($A10,WBS_계획!$A:$O,8,FALSE())),"■","")</f>
        <v/>
      </c>
      <c r="Z10" s="65" t="str">
        <f>IF(AND(Z$5&gt;=VLOOKUP($A10,WBS_계획!$A:$O,7,FALSE()),Z$5&lt;=VLOOKUP($A10,WBS_계획!$A:$O,8,FALSE())),"■","")</f>
        <v/>
      </c>
      <c r="AA10" s="65" t="str">
        <f>IF(AND(AA$5&gt;=VLOOKUP($A10,WBS_계획!$A:$O,7,FALSE()),AA$5&lt;=VLOOKUP($A10,WBS_계획!$A:$O,8,FALSE())),"■","")</f>
        <v/>
      </c>
      <c r="AB10" s="65" t="str">
        <f>IF(AND(AB$5&gt;=VLOOKUP($A10,WBS_계획!$A:$O,7,FALSE()),AB$5&lt;=VLOOKUP($A10,WBS_계획!$A:$O,8,FALSE())),"■","")</f>
        <v/>
      </c>
      <c r="AC10" s="66" t="str">
        <f>IF(AND(AC$5&gt;=VLOOKUP($A10,WBS_계획!$A:$O,7,FALSE()),AC$5&lt;=VLOOKUP($A10,WBS_계획!$A:$O,8,FALSE())),"■","")</f>
        <v/>
      </c>
    </row>
    <row r="11" spans="1:29" ht="27.95" customHeight="1">
      <c r="A11" s="18" t="s">
        <v>268</v>
      </c>
      <c r="B11" s="13" t="s">
        <v>347</v>
      </c>
      <c r="C11" s="57" t="str">
        <f>VLOOKUP($A11,WBS_계획!$A:$O,6,FALSE)</f>
        <v>공동</v>
      </c>
      <c r="D11" s="20" t="str">
        <f>VLOOKUP($A11,WBS_계획!$A:$O,12,FALSE)</f>
        <v>완료</v>
      </c>
      <c r="E11" s="65" t="str">
        <f>IF(AND(E$5&gt;=VLOOKUP($A11,WBS_계획!$A:$O,7,FALSE()),E$5&lt;=VLOOKUP($A11,WBS_계획!$A:$O,8,FALSE())),"■","")</f>
        <v/>
      </c>
      <c r="F11" s="65" t="str">
        <f>IF(AND(F$5&gt;=VLOOKUP($A11,WBS_계획!$A:$O,7,FALSE()),F$5&lt;=VLOOKUP($A11,WBS_계획!$A:$O,8,FALSE())),"■","")</f>
        <v/>
      </c>
      <c r="G11" s="65" t="str">
        <f>IF(AND(G$5&gt;=VLOOKUP($A11,WBS_계획!$A:$O,7,FALSE()),G$5&lt;=VLOOKUP($A11,WBS_계획!$A:$O,8,FALSE())),"■","")</f>
        <v>■</v>
      </c>
      <c r="H11" s="65" t="str">
        <f>IF(AND(H$5&gt;=VLOOKUP($A11,WBS_계획!$A:$O,7,FALSE()),H$5&lt;=VLOOKUP($A11,WBS_계획!$A:$O,8,FALSE())),"■","")</f>
        <v>■</v>
      </c>
      <c r="I11" s="65" t="str">
        <f>IF(AND(I$5&gt;=VLOOKUP($A11,WBS_계획!$A:$O,7,FALSE()),I$5&lt;=VLOOKUP($A11,WBS_계획!$A:$O,8,FALSE())),"■","")</f>
        <v/>
      </c>
      <c r="J11" s="65" t="str">
        <f>IF(AND(J$5&gt;=VLOOKUP($A11,WBS_계획!$A:$O,7,FALSE()),J$5&lt;=VLOOKUP($A11,WBS_계획!$A:$O,8,FALSE())),"■","")</f>
        <v/>
      </c>
      <c r="K11" s="65" t="str">
        <f>IF(AND(K$5&gt;=VLOOKUP($A11,WBS_계획!$A:$O,7,FALSE()),K$5&lt;=VLOOKUP($A11,WBS_계획!$A:$O,8,FALSE())),"■","")</f>
        <v/>
      </c>
      <c r="L11" s="65" t="str">
        <f>IF(AND(L$5&gt;=VLOOKUP($A11,WBS_계획!$A:$O,7,FALSE()),L$5&lt;=VLOOKUP($A11,WBS_계획!$A:$O,8,FALSE())),"■","")</f>
        <v/>
      </c>
      <c r="M11" s="65" t="str">
        <f>IF(AND(M$5&gt;=VLOOKUP($A11,WBS_계획!$A:$O,7,FALSE()),M$5&lt;=VLOOKUP($A11,WBS_계획!$A:$O,8,FALSE())),"■","")</f>
        <v/>
      </c>
      <c r="N11" s="65" t="str">
        <f>IF(AND(N$5&gt;=VLOOKUP($A11,WBS_계획!$A:$O,7,FALSE()),N$5&lt;=VLOOKUP($A11,WBS_계획!$A:$O,8,FALSE())),"■","")</f>
        <v/>
      </c>
      <c r="O11" s="65" t="str">
        <f>IF(AND(O$5&gt;=VLOOKUP($A11,WBS_계획!$A:$O,7,FALSE()),O$5&lt;=VLOOKUP($A11,WBS_계획!$A:$O,8,FALSE())),"■","")</f>
        <v/>
      </c>
      <c r="P11" s="65" t="str">
        <f>IF(AND(P$5&gt;=VLOOKUP($A11,WBS_계획!$A:$O,7,FALSE()),P$5&lt;=VLOOKUP($A11,WBS_계획!$A:$O,8,FALSE())),"■","")</f>
        <v/>
      </c>
      <c r="Q11" s="65" t="str">
        <f>IF(AND(Q$5&gt;=VLOOKUP($A11,WBS_계획!$A:$O,7,FALSE()),Q$5&lt;=VLOOKUP($A11,WBS_계획!$A:$O,8,FALSE())),"■","")</f>
        <v/>
      </c>
      <c r="R11" s="65" t="str">
        <f>IF(AND(R$5&gt;=VLOOKUP($A11,WBS_계획!$A:$O,7,FALSE()),R$5&lt;=VLOOKUP($A11,WBS_계획!$A:$O,8,FALSE())),"■","")</f>
        <v/>
      </c>
      <c r="S11" s="65" t="str">
        <f>IF(AND(S$5&gt;=VLOOKUP($A11,WBS_계획!$A:$O,7,FALSE()),S$5&lt;=VLOOKUP($A11,WBS_계획!$A:$O,8,FALSE())),"■","")</f>
        <v/>
      </c>
      <c r="T11" s="65" t="str">
        <f>IF(AND(T$5&gt;=VLOOKUP($A11,WBS_계획!$A:$O,7,FALSE()),T$5&lt;=VLOOKUP($A11,WBS_계획!$A:$O,8,FALSE())),"■","")</f>
        <v/>
      </c>
      <c r="U11" s="65" t="str">
        <f>IF(AND(U$5&gt;=VLOOKUP($A11,WBS_계획!$A:$O,7,FALSE()),U$5&lt;=VLOOKUP($A11,WBS_계획!$A:$O,8,FALSE())),"■","")</f>
        <v/>
      </c>
      <c r="V11" s="65" t="str">
        <f>IF(AND(V$5&gt;=VLOOKUP($A11,WBS_계획!$A:$O,7,FALSE()),V$5&lt;=VLOOKUP($A11,WBS_계획!$A:$O,8,FALSE())),"■","")</f>
        <v/>
      </c>
      <c r="W11" s="65" t="str">
        <f>IF(AND(W$5&gt;=VLOOKUP($A11,WBS_계획!$A:$O,7,FALSE()),W$5&lt;=VLOOKUP($A11,WBS_계획!$A:$O,8,FALSE())),"■","")</f>
        <v/>
      </c>
      <c r="X11" s="66" t="str">
        <f>IF(AND(X$5&gt;=VLOOKUP($A11,WBS_계획!$A:$O,7,FALSE()),X$5&lt;=VLOOKUP($A11,WBS_계획!$A:$O,8,FALSE())),"■","")</f>
        <v/>
      </c>
      <c r="Y11" s="65" t="str">
        <f>IF(AND(Y$5&gt;=VLOOKUP($A11,WBS_계획!$A:$O,7,FALSE()),Y$5&lt;=VLOOKUP($A11,WBS_계획!$A:$O,8,FALSE())),"■","")</f>
        <v/>
      </c>
      <c r="Z11" s="65" t="str">
        <f>IF(AND(Z$5&gt;=VLOOKUP($A11,WBS_계획!$A:$O,7,FALSE()),Z$5&lt;=VLOOKUP($A11,WBS_계획!$A:$O,8,FALSE())),"■","")</f>
        <v/>
      </c>
      <c r="AA11" s="65" t="str">
        <f>IF(AND(AA$5&gt;=VLOOKUP($A11,WBS_계획!$A:$O,7,FALSE()),AA$5&lt;=VLOOKUP($A11,WBS_계획!$A:$O,8,FALSE())),"■","")</f>
        <v/>
      </c>
      <c r="AB11" s="65" t="str">
        <f>IF(AND(AB$5&gt;=VLOOKUP($A11,WBS_계획!$A:$O,7,FALSE()),AB$5&lt;=VLOOKUP($A11,WBS_계획!$A:$O,8,FALSE())),"■","")</f>
        <v/>
      </c>
      <c r="AC11" s="66" t="str">
        <f>IF(AND(AC$5&gt;=VLOOKUP($A11,WBS_계획!$A:$O,7,FALSE()),AC$5&lt;=VLOOKUP($A11,WBS_계획!$A:$O,8,FALSE())),"■","")</f>
        <v/>
      </c>
    </row>
    <row r="12" spans="1:29" ht="27.95" customHeight="1">
      <c r="A12" s="18" t="s">
        <v>258</v>
      </c>
      <c r="B12" s="13" t="s">
        <v>332</v>
      </c>
      <c r="C12" s="57" t="str">
        <f>VLOOKUP($A12,WBS_계획!$A:$O,6,FALSE)</f>
        <v>공동</v>
      </c>
      <c r="D12" s="20" t="str">
        <f>VLOOKUP($A12,WBS_계획!$A:$O,12,FALSE)</f>
        <v>완료</v>
      </c>
      <c r="E12" s="65" t="str">
        <f>IF(AND(E$5&gt;=VLOOKUP($A12,WBS_계획!$A:$O,7,FALSE()),E$5&lt;=VLOOKUP($A12,WBS_계획!$A:$O,8,FALSE())),"■","")</f>
        <v/>
      </c>
      <c r="F12" s="65" t="str">
        <f>IF(AND(F$5&gt;=VLOOKUP($A12,WBS_계획!$A:$O,7,FALSE()),F$5&lt;=VLOOKUP($A12,WBS_계획!$A:$O,8,FALSE())),"■","")</f>
        <v/>
      </c>
      <c r="G12" s="65" t="str">
        <f>IF(AND(G$5&gt;=VLOOKUP($A12,WBS_계획!$A:$O,7,FALSE()),G$5&lt;=VLOOKUP($A12,WBS_계획!$A:$O,8,FALSE())),"■","")</f>
        <v/>
      </c>
      <c r="H12" s="65" t="str">
        <f>IF(AND(H$5&gt;=VLOOKUP($A12,WBS_계획!$A:$O,7,FALSE()),H$5&lt;=VLOOKUP($A12,WBS_계획!$A:$O,8,FALSE())),"■","")</f>
        <v/>
      </c>
      <c r="I12" s="65" t="str">
        <f>IF(AND(I$5&gt;=VLOOKUP($A12,WBS_계획!$A:$O,7,FALSE()),I$5&lt;=VLOOKUP($A12,WBS_계획!$A:$O,8,FALSE())),"■","")</f>
        <v/>
      </c>
      <c r="J12" s="65" t="str">
        <f>IF(AND(J$5&gt;=VLOOKUP($A12,WBS_계획!$A:$O,7,FALSE()),J$5&lt;=VLOOKUP($A12,WBS_계획!$A:$O,8,FALSE())),"■","")</f>
        <v>■</v>
      </c>
      <c r="K12" s="65" t="str">
        <f>IF(AND(K$5&gt;=VLOOKUP($A12,WBS_계획!$A:$O,7,FALSE()),K$5&lt;=VLOOKUP($A12,WBS_계획!$A:$O,8,FALSE())),"■","")</f>
        <v>■</v>
      </c>
      <c r="L12" s="65" t="str">
        <f>IF(AND(L$5&gt;=VLOOKUP($A12,WBS_계획!$A:$O,7,FALSE()),L$5&lt;=VLOOKUP($A12,WBS_계획!$A:$O,8,FALSE())),"■","")</f>
        <v>■</v>
      </c>
      <c r="M12" s="65" t="str">
        <f>IF(AND(M$5&gt;=VLOOKUP($A12,WBS_계획!$A:$O,7,FALSE()),M$5&lt;=VLOOKUP($A12,WBS_계획!$A:$O,8,FALSE())),"■","")</f>
        <v/>
      </c>
      <c r="N12" s="65" t="str">
        <f>IF(AND(N$5&gt;=VLOOKUP($A12,WBS_계획!$A:$O,7,FALSE()),N$5&lt;=VLOOKUP($A12,WBS_계획!$A:$O,8,FALSE())),"■","")</f>
        <v/>
      </c>
      <c r="O12" s="65" t="str">
        <f>IF(AND(O$5&gt;=VLOOKUP($A12,WBS_계획!$A:$O,7,FALSE()),O$5&lt;=VLOOKUP($A12,WBS_계획!$A:$O,8,FALSE())),"■","")</f>
        <v/>
      </c>
      <c r="P12" s="65" t="str">
        <f>IF(AND(P$5&gt;=VLOOKUP($A12,WBS_계획!$A:$O,7,FALSE()),P$5&lt;=VLOOKUP($A12,WBS_계획!$A:$O,8,FALSE())),"■","")</f>
        <v/>
      </c>
      <c r="Q12" s="65" t="str">
        <f>IF(AND(Q$5&gt;=VLOOKUP($A12,WBS_계획!$A:$O,7,FALSE()),Q$5&lt;=VLOOKUP($A12,WBS_계획!$A:$O,8,FALSE())),"■","")</f>
        <v/>
      </c>
      <c r="R12" s="65" t="str">
        <f>IF(AND(R$5&gt;=VLOOKUP($A12,WBS_계획!$A:$O,7,FALSE()),R$5&lt;=VLOOKUP($A12,WBS_계획!$A:$O,8,FALSE())),"■","")</f>
        <v/>
      </c>
      <c r="S12" s="65" t="str">
        <f>IF(AND(S$5&gt;=VLOOKUP($A12,WBS_계획!$A:$O,7,FALSE()),S$5&lt;=VLOOKUP($A12,WBS_계획!$A:$O,8,FALSE())),"■","")</f>
        <v/>
      </c>
      <c r="T12" s="65" t="str">
        <f>IF(AND(T$5&gt;=VLOOKUP($A12,WBS_계획!$A:$O,7,FALSE()),T$5&lt;=VLOOKUP($A12,WBS_계획!$A:$O,8,FALSE())),"■","")</f>
        <v/>
      </c>
      <c r="U12" s="65" t="str">
        <f>IF(AND(U$5&gt;=VLOOKUP($A12,WBS_계획!$A:$O,7,FALSE()),U$5&lt;=VLOOKUP($A12,WBS_계획!$A:$O,8,FALSE())),"■","")</f>
        <v/>
      </c>
      <c r="V12" s="65" t="str">
        <f>IF(AND(V$5&gt;=VLOOKUP($A12,WBS_계획!$A:$O,7,FALSE()),V$5&lt;=VLOOKUP($A12,WBS_계획!$A:$O,8,FALSE())),"■","")</f>
        <v/>
      </c>
      <c r="W12" s="65" t="str">
        <f>IF(AND(W$5&gt;=VLOOKUP($A12,WBS_계획!$A:$O,7,FALSE()),W$5&lt;=VLOOKUP($A12,WBS_계획!$A:$O,8,FALSE())),"■","")</f>
        <v/>
      </c>
      <c r="X12" s="66" t="str">
        <f>IF(AND(X$5&gt;=VLOOKUP($A12,WBS_계획!$A:$O,7,FALSE()),X$5&lt;=VLOOKUP($A12,WBS_계획!$A:$O,8,FALSE())),"■","")</f>
        <v/>
      </c>
      <c r="Y12" s="65" t="str">
        <f>IF(AND(Y$5&gt;=VLOOKUP($A12,WBS_계획!$A:$O,7,FALSE()),Y$5&lt;=VLOOKUP($A12,WBS_계획!$A:$O,8,FALSE())),"■","")</f>
        <v/>
      </c>
      <c r="Z12" s="65" t="str">
        <f>IF(AND(Z$5&gt;=VLOOKUP($A12,WBS_계획!$A:$O,7,FALSE()),Z$5&lt;=VLOOKUP($A12,WBS_계획!$A:$O,8,FALSE())),"■","")</f>
        <v/>
      </c>
      <c r="AA12" s="65" t="str">
        <f>IF(AND(AA$5&gt;=VLOOKUP($A12,WBS_계획!$A:$O,7,FALSE()),AA$5&lt;=VLOOKUP($A12,WBS_계획!$A:$O,8,FALSE())),"■","")</f>
        <v/>
      </c>
      <c r="AB12" s="65" t="str">
        <f>IF(AND(AB$5&gt;=VLOOKUP($A12,WBS_계획!$A:$O,7,FALSE()),AB$5&lt;=VLOOKUP($A12,WBS_계획!$A:$O,8,FALSE())),"■","")</f>
        <v/>
      </c>
      <c r="AC12" s="66" t="str">
        <f>IF(AND(AC$5&gt;=VLOOKUP($A12,WBS_계획!$A:$O,7,FALSE()),AC$5&lt;=VLOOKUP($A12,WBS_계획!$A:$O,8,FALSE())),"■","")</f>
        <v/>
      </c>
    </row>
    <row r="13" spans="1:29" ht="27.95" customHeight="1">
      <c r="A13" s="18" t="s">
        <v>336</v>
      </c>
      <c r="B13" s="13" t="s">
        <v>337</v>
      </c>
      <c r="C13" s="57" t="str">
        <f>VLOOKUP($A13,WBS_계획!$A:$O,6,FALSE)</f>
        <v>김예은</v>
      </c>
      <c r="D13" s="20" t="str">
        <f>VLOOKUP($A13,WBS_계획!$A:$O,12,FALSE)</f>
        <v>완료</v>
      </c>
      <c r="E13" s="65" t="str">
        <f>IF(AND(E$5&gt;=VLOOKUP($A13,WBS_계획!$A:$O,7,FALSE()),E$5&lt;=VLOOKUP($A13,WBS_계획!$A:$O,8,FALSE())),"■","")</f>
        <v/>
      </c>
      <c r="F13" s="65" t="str">
        <f>IF(AND(F$5&gt;=VLOOKUP($A13,WBS_계획!$A:$O,7,FALSE()),F$5&lt;=VLOOKUP($A13,WBS_계획!$A:$O,8,FALSE())),"■","")</f>
        <v/>
      </c>
      <c r="G13" s="65" t="str">
        <f>IF(AND(G$5&gt;=VLOOKUP($A13,WBS_계획!$A:$O,7,FALSE()),G$5&lt;=VLOOKUP($A13,WBS_계획!$A:$O,8,FALSE())),"■","")</f>
        <v/>
      </c>
      <c r="H13" s="65" t="str">
        <f>IF(AND(H$5&gt;=VLOOKUP($A13,WBS_계획!$A:$O,7,FALSE()),H$5&lt;=VLOOKUP($A13,WBS_계획!$A:$O,8,FALSE())),"■","")</f>
        <v/>
      </c>
      <c r="I13" s="65" t="str">
        <f>IF(AND(I$5&gt;=VLOOKUP($A13,WBS_계획!$A:$O,7,FALSE()),I$5&lt;=VLOOKUP($A13,WBS_계획!$A:$O,8,FALSE())),"■","")</f>
        <v/>
      </c>
      <c r="J13" s="65" t="str">
        <f>IF(AND(J$5&gt;=VLOOKUP($A13,WBS_계획!$A:$O,7,FALSE()),J$5&lt;=VLOOKUP($A13,WBS_계획!$A:$O,8,FALSE())),"■","")</f>
        <v>■</v>
      </c>
      <c r="K13" s="65" t="str">
        <f>IF(AND(K$5&gt;=VLOOKUP($A13,WBS_계획!$A:$O,7,FALSE()),K$5&lt;=VLOOKUP($A13,WBS_계획!$A:$O,8,FALSE())),"■","")</f>
        <v>■</v>
      </c>
      <c r="L13" s="65" t="str">
        <f>IF(AND(L$5&gt;=VLOOKUP($A13,WBS_계획!$A:$O,7,FALSE()),L$5&lt;=VLOOKUP($A13,WBS_계획!$A:$O,8,FALSE())),"■","")</f>
        <v>■</v>
      </c>
      <c r="M13" s="65" t="str">
        <f>IF(AND(M$5&gt;=VLOOKUP($A13,WBS_계획!$A:$O,7,FALSE()),M$5&lt;=VLOOKUP($A13,WBS_계획!$A:$O,8,FALSE())),"■","")</f>
        <v/>
      </c>
      <c r="N13" s="65" t="str">
        <f>IF(AND(N$5&gt;=VLOOKUP($A13,WBS_계획!$A:$O,7,FALSE()),N$5&lt;=VLOOKUP($A13,WBS_계획!$A:$O,8,FALSE())),"■","")</f>
        <v/>
      </c>
      <c r="O13" s="65" t="str">
        <f>IF(AND(O$5&gt;=VLOOKUP($A13,WBS_계획!$A:$O,7,FALSE()),O$5&lt;=VLOOKUP($A13,WBS_계획!$A:$O,8,FALSE())),"■","")</f>
        <v/>
      </c>
      <c r="P13" s="65" t="str">
        <f>IF(AND(P$5&gt;=VLOOKUP($A13,WBS_계획!$A:$O,7,FALSE()),P$5&lt;=VLOOKUP($A13,WBS_계획!$A:$O,8,FALSE())),"■","")</f>
        <v/>
      </c>
      <c r="Q13" s="65" t="str">
        <f>IF(AND(Q$5&gt;=VLOOKUP($A13,WBS_계획!$A:$O,7,FALSE()),Q$5&lt;=VLOOKUP($A13,WBS_계획!$A:$O,8,FALSE())),"■","")</f>
        <v/>
      </c>
      <c r="R13" s="65" t="str">
        <f>IF(AND(R$5&gt;=VLOOKUP($A13,WBS_계획!$A:$O,7,FALSE()),R$5&lt;=VLOOKUP($A13,WBS_계획!$A:$O,8,FALSE())),"■","")</f>
        <v/>
      </c>
      <c r="S13" s="65" t="str">
        <f>IF(AND(S$5&gt;=VLOOKUP($A13,WBS_계획!$A:$O,7,FALSE()),S$5&lt;=VLOOKUP($A13,WBS_계획!$A:$O,8,FALSE())),"■","")</f>
        <v/>
      </c>
      <c r="T13" s="65" t="str">
        <f>IF(AND(T$5&gt;=VLOOKUP($A13,WBS_계획!$A:$O,7,FALSE()),T$5&lt;=VLOOKUP($A13,WBS_계획!$A:$O,8,FALSE())),"■","")</f>
        <v/>
      </c>
      <c r="U13" s="65" t="str">
        <f>IF(AND(U$5&gt;=VLOOKUP($A13,WBS_계획!$A:$O,7,FALSE()),U$5&lt;=VLOOKUP($A13,WBS_계획!$A:$O,8,FALSE())),"■","")</f>
        <v/>
      </c>
      <c r="V13" s="65" t="str">
        <f>IF(AND(V$5&gt;=VLOOKUP($A13,WBS_계획!$A:$O,7,FALSE()),V$5&lt;=VLOOKUP($A13,WBS_계획!$A:$O,8,FALSE())),"■","")</f>
        <v/>
      </c>
      <c r="W13" s="65" t="str">
        <f>IF(AND(W$5&gt;=VLOOKUP($A13,WBS_계획!$A:$O,7,FALSE()),W$5&lt;=VLOOKUP($A13,WBS_계획!$A:$O,8,FALSE())),"■","")</f>
        <v/>
      </c>
      <c r="X13" s="66" t="str">
        <f>IF(AND(X$5&gt;=VLOOKUP($A13,WBS_계획!$A:$O,7,FALSE()),X$5&lt;=VLOOKUP($A13,WBS_계획!$A:$O,8,FALSE())),"■","")</f>
        <v/>
      </c>
      <c r="Y13" s="65" t="str">
        <f>IF(AND(Y$5&gt;=VLOOKUP($A13,WBS_계획!$A:$O,7,FALSE()),Y$5&lt;=VLOOKUP($A13,WBS_계획!$A:$O,8,FALSE())),"■","")</f>
        <v/>
      </c>
      <c r="Z13" s="65" t="str">
        <f>IF(AND(Z$5&gt;=VLOOKUP($A13,WBS_계획!$A:$O,7,FALSE()),Z$5&lt;=VLOOKUP($A13,WBS_계획!$A:$O,8,FALSE())),"■","")</f>
        <v/>
      </c>
      <c r="AA13" s="65" t="str">
        <f>IF(AND(AA$5&gt;=VLOOKUP($A13,WBS_계획!$A:$O,7,FALSE()),AA$5&lt;=VLOOKUP($A13,WBS_계획!$A:$O,8,FALSE())),"■","")</f>
        <v/>
      </c>
      <c r="AB13" s="65" t="str">
        <f>IF(AND(AB$5&gt;=VLOOKUP($A13,WBS_계획!$A:$O,7,FALSE()),AB$5&lt;=VLOOKUP($A13,WBS_계획!$A:$O,8,FALSE())),"■","")</f>
        <v/>
      </c>
      <c r="AC13" s="66" t="str">
        <f>IF(AND(AC$5&gt;=VLOOKUP($A13,WBS_계획!$A:$O,7,FALSE()),AC$5&lt;=VLOOKUP($A13,WBS_계획!$A:$O,8,FALSE())),"■","")</f>
        <v/>
      </c>
    </row>
    <row r="14" spans="1:29" ht="27.95" customHeight="1">
      <c r="A14" s="18" t="s">
        <v>338</v>
      </c>
      <c r="B14" s="13" t="s">
        <v>339</v>
      </c>
      <c r="C14" s="57" t="str">
        <f>VLOOKUP($A14,WBS_계획!$A:$O,6,FALSE)</f>
        <v>김예은</v>
      </c>
      <c r="D14" s="20" t="str">
        <f>VLOOKUP($A14,WBS_계획!$A:$O,12,FALSE)</f>
        <v>완료</v>
      </c>
      <c r="E14" s="65" t="str">
        <f>IF(AND(E$5&gt;=VLOOKUP($A14,WBS_계획!$A:$O,7,FALSE()),E$5&lt;=VLOOKUP($A14,WBS_계획!$A:$O,8,FALSE())),"■","")</f>
        <v/>
      </c>
      <c r="F14" s="65" t="str">
        <f>IF(AND(F$5&gt;=VLOOKUP($A14,WBS_계획!$A:$O,7,FALSE()),F$5&lt;=VLOOKUP($A14,WBS_계획!$A:$O,8,FALSE())),"■","")</f>
        <v/>
      </c>
      <c r="G14" s="65" t="str">
        <f>IF(AND(G$5&gt;=VLOOKUP($A14,WBS_계획!$A:$O,7,FALSE()),G$5&lt;=VLOOKUP($A14,WBS_계획!$A:$O,8,FALSE())),"■","")</f>
        <v/>
      </c>
      <c r="H14" s="65" t="str">
        <f>IF(AND(H$5&gt;=VLOOKUP($A14,WBS_계획!$A:$O,7,FALSE()),H$5&lt;=VLOOKUP($A14,WBS_계획!$A:$O,8,FALSE())),"■","")</f>
        <v/>
      </c>
      <c r="I14" s="65" t="str">
        <f>IF(AND(I$5&gt;=VLOOKUP($A14,WBS_계획!$A:$O,7,FALSE()),I$5&lt;=VLOOKUP($A14,WBS_계획!$A:$O,8,FALSE())),"■","")</f>
        <v/>
      </c>
      <c r="J14" s="65" t="str">
        <f>IF(AND(J$5&gt;=VLOOKUP($A14,WBS_계획!$A:$O,7,FALSE()),J$5&lt;=VLOOKUP($A14,WBS_계획!$A:$O,8,FALSE())),"■","")</f>
        <v>■</v>
      </c>
      <c r="K14" s="65" t="str">
        <f>IF(AND(K$5&gt;=VLOOKUP($A14,WBS_계획!$A:$O,7,FALSE()),K$5&lt;=VLOOKUP($A14,WBS_계획!$A:$O,8,FALSE())),"■","")</f>
        <v>■</v>
      </c>
      <c r="L14" s="65" t="str">
        <f>IF(AND(L$5&gt;=VLOOKUP($A14,WBS_계획!$A:$O,7,FALSE()),L$5&lt;=VLOOKUP($A14,WBS_계획!$A:$O,8,FALSE())),"■","")</f>
        <v>■</v>
      </c>
      <c r="M14" s="65" t="str">
        <f>IF(AND(M$5&gt;=VLOOKUP($A14,WBS_계획!$A:$O,7,FALSE()),M$5&lt;=VLOOKUP($A14,WBS_계획!$A:$O,8,FALSE())),"■","")</f>
        <v/>
      </c>
      <c r="N14" s="65" t="str">
        <f>IF(AND(N$5&gt;=VLOOKUP($A14,WBS_계획!$A:$O,7,FALSE()),N$5&lt;=VLOOKUP($A14,WBS_계획!$A:$O,8,FALSE())),"■","")</f>
        <v/>
      </c>
      <c r="O14" s="65" t="str">
        <f>IF(AND(O$5&gt;=VLOOKUP($A14,WBS_계획!$A:$O,7,FALSE()),O$5&lt;=VLOOKUP($A14,WBS_계획!$A:$O,8,FALSE())),"■","")</f>
        <v/>
      </c>
      <c r="P14" s="65" t="str">
        <f>IF(AND(P$5&gt;=VLOOKUP($A14,WBS_계획!$A:$O,7,FALSE()),P$5&lt;=VLOOKUP($A14,WBS_계획!$A:$O,8,FALSE())),"■","")</f>
        <v/>
      </c>
      <c r="Q14" s="65" t="str">
        <f>IF(AND(Q$5&gt;=VLOOKUP($A14,WBS_계획!$A:$O,7,FALSE()),Q$5&lt;=VLOOKUP($A14,WBS_계획!$A:$O,8,FALSE())),"■","")</f>
        <v/>
      </c>
      <c r="R14" s="65" t="str">
        <f>IF(AND(R$5&gt;=VLOOKUP($A14,WBS_계획!$A:$O,7,FALSE()),R$5&lt;=VLOOKUP($A14,WBS_계획!$A:$O,8,FALSE())),"■","")</f>
        <v/>
      </c>
      <c r="S14" s="65" t="str">
        <f>IF(AND(S$5&gt;=VLOOKUP($A14,WBS_계획!$A:$O,7,FALSE()),S$5&lt;=VLOOKUP($A14,WBS_계획!$A:$O,8,FALSE())),"■","")</f>
        <v/>
      </c>
      <c r="T14" s="65" t="str">
        <f>IF(AND(T$5&gt;=VLOOKUP($A14,WBS_계획!$A:$O,7,FALSE()),T$5&lt;=VLOOKUP($A14,WBS_계획!$A:$O,8,FALSE())),"■","")</f>
        <v/>
      </c>
      <c r="U14" s="65" t="str">
        <f>IF(AND(U$5&gt;=VLOOKUP($A14,WBS_계획!$A:$O,7,FALSE()),U$5&lt;=VLOOKUP($A14,WBS_계획!$A:$O,8,FALSE())),"■","")</f>
        <v/>
      </c>
      <c r="V14" s="65" t="str">
        <f>IF(AND(V$5&gt;=VLOOKUP($A14,WBS_계획!$A:$O,7,FALSE()),V$5&lt;=VLOOKUP($A14,WBS_계획!$A:$O,8,FALSE())),"■","")</f>
        <v/>
      </c>
      <c r="W14" s="65" t="str">
        <f>IF(AND(W$5&gt;=VLOOKUP($A14,WBS_계획!$A:$O,7,FALSE()),W$5&lt;=VLOOKUP($A14,WBS_계획!$A:$O,8,FALSE())),"■","")</f>
        <v/>
      </c>
      <c r="X14" s="66" t="str">
        <f>IF(AND(X$5&gt;=VLOOKUP($A14,WBS_계획!$A:$O,7,FALSE()),X$5&lt;=VLOOKUP($A14,WBS_계획!$A:$O,8,FALSE())),"■","")</f>
        <v/>
      </c>
      <c r="Y14" s="65" t="str">
        <f>IF(AND(Y$5&gt;=VLOOKUP($A14,WBS_계획!$A:$O,7,FALSE()),Y$5&lt;=VLOOKUP($A14,WBS_계획!$A:$O,8,FALSE())),"■","")</f>
        <v/>
      </c>
      <c r="Z14" s="65" t="str">
        <f>IF(AND(Z$5&gt;=VLOOKUP($A14,WBS_계획!$A:$O,7,FALSE()),Z$5&lt;=VLOOKUP($A14,WBS_계획!$A:$O,8,FALSE())),"■","")</f>
        <v/>
      </c>
      <c r="AA14" s="65" t="str">
        <f>IF(AND(AA$5&gt;=VLOOKUP($A14,WBS_계획!$A:$O,7,FALSE()),AA$5&lt;=VLOOKUP($A14,WBS_계획!$A:$O,8,FALSE())),"■","")</f>
        <v/>
      </c>
      <c r="AB14" s="65" t="str">
        <f>IF(AND(AB$5&gt;=VLOOKUP($A14,WBS_계획!$A:$O,7,FALSE()),AB$5&lt;=VLOOKUP($A14,WBS_계획!$A:$O,8,FALSE())),"■","")</f>
        <v/>
      </c>
      <c r="AC14" s="66" t="str">
        <f>IF(AND(AC$5&gt;=VLOOKUP($A14,WBS_계획!$A:$O,7,FALSE()),AC$5&lt;=VLOOKUP($A14,WBS_계획!$A:$O,8,FALSE())),"■","")</f>
        <v/>
      </c>
    </row>
    <row r="15" spans="1:29" ht="27.95" customHeight="1">
      <c r="A15" s="18" t="s">
        <v>270</v>
      </c>
      <c r="B15" s="13" t="s">
        <v>349</v>
      </c>
      <c r="C15" s="57" t="str">
        <f>VLOOKUP($A15,WBS_계획!$A:$O,6,FALSE)</f>
        <v>김예은</v>
      </c>
      <c r="D15" s="20" t="str">
        <f>VLOOKUP($A15,WBS_계획!$A:$O,12,FALSE)</f>
        <v>완료</v>
      </c>
      <c r="E15" s="65" t="str">
        <f>IF(AND(E$5&gt;=VLOOKUP($A15,WBS_계획!$A:$O,7,FALSE()),E$5&lt;=VLOOKUP($A15,WBS_계획!$A:$O,8,FALSE())),"■","")</f>
        <v/>
      </c>
      <c r="F15" s="65" t="str">
        <f>IF(AND(F$5&gt;=VLOOKUP($A15,WBS_계획!$A:$O,7,FALSE()),F$5&lt;=VLOOKUP($A15,WBS_계획!$A:$O,8,FALSE())),"■","")</f>
        <v/>
      </c>
      <c r="G15" s="65" t="str">
        <f>IF(AND(G$5&gt;=VLOOKUP($A15,WBS_계획!$A:$O,7,FALSE()),G$5&lt;=VLOOKUP($A15,WBS_계획!$A:$O,8,FALSE())),"■","")</f>
        <v/>
      </c>
      <c r="H15" s="65" t="str">
        <f>IF(AND(H$5&gt;=VLOOKUP($A15,WBS_계획!$A:$O,7,FALSE()),H$5&lt;=VLOOKUP($A15,WBS_계획!$A:$O,8,FALSE())),"■","")</f>
        <v/>
      </c>
      <c r="I15" s="65" t="str">
        <f>IF(AND(I$5&gt;=VLOOKUP($A15,WBS_계획!$A:$O,7,FALSE()),I$5&lt;=VLOOKUP($A15,WBS_계획!$A:$O,8,FALSE())),"■","")</f>
        <v/>
      </c>
      <c r="J15" s="65" t="str">
        <f>IF(AND(J$5&gt;=VLOOKUP($A15,WBS_계획!$A:$O,7,FALSE()),J$5&lt;=VLOOKUP($A15,WBS_계획!$A:$O,8,FALSE())),"■","")</f>
        <v>■</v>
      </c>
      <c r="K15" s="65" t="str">
        <f>IF(AND(K$5&gt;=VLOOKUP($A15,WBS_계획!$A:$O,7,FALSE()),K$5&lt;=VLOOKUP($A15,WBS_계획!$A:$O,8,FALSE())),"■","")</f>
        <v>■</v>
      </c>
      <c r="L15" s="65" t="str">
        <f>IF(AND(L$5&gt;=VLOOKUP($A15,WBS_계획!$A:$O,7,FALSE()),L$5&lt;=VLOOKUP($A15,WBS_계획!$A:$O,8,FALSE())),"■","")</f>
        <v>■</v>
      </c>
      <c r="M15" s="65" t="str">
        <f>IF(AND(M$5&gt;=VLOOKUP($A15,WBS_계획!$A:$O,7,FALSE()),M$5&lt;=VLOOKUP($A15,WBS_계획!$A:$O,8,FALSE())),"■","")</f>
        <v/>
      </c>
      <c r="N15" s="65" t="str">
        <f>IF(AND(N$5&gt;=VLOOKUP($A15,WBS_계획!$A:$O,7,FALSE()),N$5&lt;=VLOOKUP($A15,WBS_계획!$A:$O,8,FALSE())),"■","")</f>
        <v/>
      </c>
      <c r="O15" s="65" t="str">
        <f>IF(AND(O$5&gt;=VLOOKUP($A15,WBS_계획!$A:$O,7,FALSE()),O$5&lt;=VLOOKUP($A15,WBS_계획!$A:$O,8,FALSE())),"■","")</f>
        <v/>
      </c>
      <c r="P15" s="65" t="str">
        <f>IF(AND(P$5&gt;=VLOOKUP($A15,WBS_계획!$A:$O,7,FALSE()),P$5&lt;=VLOOKUP($A15,WBS_계획!$A:$O,8,FALSE())),"■","")</f>
        <v/>
      </c>
      <c r="Q15" s="65" t="str">
        <f>IF(AND(Q$5&gt;=VLOOKUP($A15,WBS_계획!$A:$O,7,FALSE()),Q$5&lt;=VLOOKUP($A15,WBS_계획!$A:$O,8,FALSE())),"■","")</f>
        <v/>
      </c>
      <c r="R15" s="65" t="str">
        <f>IF(AND(R$5&gt;=VLOOKUP($A15,WBS_계획!$A:$O,7,FALSE()),R$5&lt;=VLOOKUP($A15,WBS_계획!$A:$O,8,FALSE())),"■","")</f>
        <v/>
      </c>
      <c r="S15" s="65" t="str">
        <f>IF(AND(S$5&gt;=VLOOKUP($A15,WBS_계획!$A:$O,7,FALSE()),S$5&lt;=VLOOKUP($A15,WBS_계획!$A:$O,8,FALSE())),"■","")</f>
        <v/>
      </c>
      <c r="T15" s="65" t="str">
        <f>IF(AND(T$5&gt;=VLOOKUP($A15,WBS_계획!$A:$O,7,FALSE()),T$5&lt;=VLOOKUP($A15,WBS_계획!$A:$O,8,FALSE())),"■","")</f>
        <v/>
      </c>
      <c r="U15" s="65" t="str">
        <f>IF(AND(U$5&gt;=VLOOKUP($A15,WBS_계획!$A:$O,7,FALSE()),U$5&lt;=VLOOKUP($A15,WBS_계획!$A:$O,8,FALSE())),"■","")</f>
        <v/>
      </c>
      <c r="V15" s="65" t="str">
        <f>IF(AND(V$5&gt;=VLOOKUP($A15,WBS_계획!$A:$O,7,FALSE()),V$5&lt;=VLOOKUP($A15,WBS_계획!$A:$O,8,FALSE())),"■","")</f>
        <v/>
      </c>
      <c r="W15" s="65" t="str">
        <f>IF(AND(W$5&gt;=VLOOKUP($A15,WBS_계획!$A:$O,7,FALSE()),W$5&lt;=VLOOKUP($A15,WBS_계획!$A:$O,8,FALSE())),"■","")</f>
        <v/>
      </c>
      <c r="X15" s="66" t="str">
        <f>IF(AND(X$5&gt;=VLOOKUP($A15,WBS_계획!$A:$O,7,FALSE()),X$5&lt;=VLOOKUP($A15,WBS_계획!$A:$O,8,FALSE())),"■","")</f>
        <v/>
      </c>
      <c r="Y15" s="65" t="str">
        <f>IF(AND(Y$5&gt;=VLOOKUP($A15,WBS_계획!$A:$O,7,FALSE()),Y$5&lt;=VLOOKUP($A15,WBS_계획!$A:$O,8,FALSE())),"■","")</f>
        <v/>
      </c>
      <c r="Z15" s="65" t="str">
        <f>IF(AND(Z$5&gt;=VLOOKUP($A15,WBS_계획!$A:$O,7,FALSE()),Z$5&lt;=VLOOKUP($A15,WBS_계획!$A:$O,8,FALSE())),"■","")</f>
        <v/>
      </c>
      <c r="AA15" s="65" t="str">
        <f>IF(AND(AA$5&gt;=VLOOKUP($A15,WBS_계획!$A:$O,7,FALSE()),AA$5&lt;=VLOOKUP($A15,WBS_계획!$A:$O,8,FALSE())),"■","")</f>
        <v/>
      </c>
      <c r="AB15" s="65" t="str">
        <f>IF(AND(AB$5&gt;=VLOOKUP($A15,WBS_계획!$A:$O,7,FALSE()),AB$5&lt;=VLOOKUP($A15,WBS_계획!$A:$O,8,FALSE())),"■","")</f>
        <v/>
      </c>
      <c r="AC15" s="66" t="str">
        <f>IF(AND(AC$5&gt;=VLOOKUP($A15,WBS_계획!$A:$O,7,FALSE()),AC$5&lt;=VLOOKUP($A15,WBS_계획!$A:$O,8,FALSE())),"■","")</f>
        <v/>
      </c>
    </row>
    <row r="16" spans="1:29" ht="27.95" customHeight="1">
      <c r="A16" s="19" t="s">
        <v>276</v>
      </c>
      <c r="B16" s="14" t="s">
        <v>357</v>
      </c>
      <c r="C16" s="57" t="str">
        <f>VLOOKUP($A16,WBS_계획!$A:$O,6,FALSE)</f>
        <v>김예은</v>
      </c>
      <c r="D16" s="20" t="str">
        <f>VLOOKUP($A16,WBS_계획!$A:$O,12,FALSE)</f>
        <v>완료</v>
      </c>
      <c r="E16" s="67" t="str">
        <f>IF(AND(E$5&gt;=VLOOKUP($A16,WBS_계획!$A:$O,7,FALSE()),E$5&lt;=VLOOKUP($A16,WBS_계획!$A:$O,8,FALSE())),"■","")</f>
        <v/>
      </c>
      <c r="F16" s="67" t="str">
        <f>IF(AND(F$5&gt;=VLOOKUP($A16,WBS_계획!$A:$O,7,FALSE()),F$5&lt;=VLOOKUP($A16,WBS_계획!$A:$O,8,FALSE())),"■","")</f>
        <v/>
      </c>
      <c r="G16" s="67" t="str">
        <f>IF(AND(G$5&gt;=VLOOKUP($A16,WBS_계획!$A:$O,7,FALSE()),G$5&lt;=VLOOKUP($A16,WBS_계획!$A:$O,8,FALSE())),"■","")</f>
        <v/>
      </c>
      <c r="H16" s="67" t="str">
        <f>IF(AND(H$5&gt;=VLOOKUP($A16,WBS_계획!$A:$O,7,FALSE()),H$5&lt;=VLOOKUP($A16,WBS_계획!$A:$O,8,FALSE())),"■","")</f>
        <v/>
      </c>
      <c r="I16" s="67" t="str">
        <f>IF(AND(I$5&gt;=VLOOKUP($A16,WBS_계획!$A:$O,7,FALSE()),I$5&lt;=VLOOKUP($A16,WBS_계획!$A:$O,8,FALSE())),"■","")</f>
        <v/>
      </c>
      <c r="J16" s="67" t="str">
        <f>IF(AND(J$5&gt;=VLOOKUP($A16,WBS_계획!$A:$O,7,FALSE()),J$5&lt;=VLOOKUP($A16,WBS_계획!$A:$O,8,FALSE())),"■","")</f>
        <v>■</v>
      </c>
      <c r="K16" s="67" t="str">
        <f>IF(AND(K$5&gt;=VLOOKUP($A16,WBS_계획!$A:$O,7,FALSE()),K$5&lt;=VLOOKUP($A16,WBS_계획!$A:$O,8,FALSE())),"■","")</f>
        <v>■</v>
      </c>
      <c r="L16" s="67" t="str">
        <f>IF(AND(L$5&gt;=VLOOKUP($A16,WBS_계획!$A:$O,7,FALSE()),L$5&lt;=VLOOKUP($A16,WBS_계획!$A:$O,8,FALSE())),"■","")</f>
        <v>■</v>
      </c>
      <c r="M16" s="67" t="str">
        <f>IF(AND(M$5&gt;=VLOOKUP($A16,WBS_계획!$A:$O,7,FALSE()),M$5&lt;=VLOOKUP($A16,WBS_계획!$A:$O,8,FALSE())),"■","")</f>
        <v/>
      </c>
      <c r="N16" s="67" t="str">
        <f>IF(AND(N$5&gt;=VLOOKUP($A16,WBS_계획!$A:$O,7,FALSE()),N$5&lt;=VLOOKUP($A16,WBS_계획!$A:$O,8,FALSE())),"■","")</f>
        <v/>
      </c>
      <c r="O16" s="67" t="str">
        <f>IF(AND(O$5&gt;=VLOOKUP($A16,WBS_계획!$A:$O,7,FALSE()),O$5&lt;=VLOOKUP($A16,WBS_계획!$A:$O,8,FALSE())),"■","")</f>
        <v/>
      </c>
      <c r="P16" s="67" t="str">
        <f>IF(AND(P$5&gt;=VLOOKUP($A16,WBS_계획!$A:$O,7,FALSE()),P$5&lt;=VLOOKUP($A16,WBS_계획!$A:$O,8,FALSE())),"■","")</f>
        <v/>
      </c>
      <c r="Q16" s="67" t="str">
        <f>IF(AND(Q$5&gt;=VLOOKUP($A16,WBS_계획!$A:$O,7,FALSE()),Q$5&lt;=VLOOKUP($A16,WBS_계획!$A:$O,8,FALSE())),"■","")</f>
        <v/>
      </c>
      <c r="R16" s="67" t="str">
        <f>IF(AND(R$5&gt;=VLOOKUP($A16,WBS_계획!$A:$O,7,FALSE()),R$5&lt;=VLOOKUP($A16,WBS_계획!$A:$O,8,FALSE())),"■","")</f>
        <v/>
      </c>
      <c r="S16" s="67" t="str">
        <f>IF(AND(S$5&gt;=VLOOKUP($A16,WBS_계획!$A:$O,7,FALSE()),S$5&lt;=VLOOKUP($A16,WBS_계획!$A:$O,8,FALSE())),"■","")</f>
        <v/>
      </c>
      <c r="T16" s="67" t="str">
        <f>IF(AND(T$5&gt;=VLOOKUP($A16,WBS_계획!$A:$O,7,FALSE()),T$5&lt;=VLOOKUP($A16,WBS_계획!$A:$O,8,FALSE())),"■","")</f>
        <v/>
      </c>
      <c r="U16" s="67" t="str">
        <f>IF(AND(U$5&gt;=VLOOKUP($A16,WBS_계획!$A:$O,7,FALSE()),U$5&lt;=VLOOKUP($A16,WBS_계획!$A:$O,8,FALSE())),"■","")</f>
        <v/>
      </c>
      <c r="V16" s="67" t="str">
        <f>IF(AND(V$5&gt;=VLOOKUP($A16,WBS_계획!$A:$O,7,FALSE()),V$5&lt;=VLOOKUP($A16,WBS_계획!$A:$O,8,FALSE())),"■","")</f>
        <v/>
      </c>
      <c r="W16" s="67" t="str">
        <f>IF(AND(W$5&gt;=VLOOKUP($A16,WBS_계획!$A:$O,7,FALSE()),W$5&lt;=VLOOKUP($A16,WBS_계획!$A:$O,8,FALSE())),"■","")</f>
        <v/>
      </c>
      <c r="X16" s="68" t="str">
        <f>IF(AND(X$5&gt;=VLOOKUP($A16,WBS_계획!$A:$O,7,FALSE()),X$5&lt;=VLOOKUP($A16,WBS_계획!$A:$O,8,FALSE())),"■","")</f>
        <v/>
      </c>
      <c r="Y16" s="67" t="str">
        <f>IF(AND(Y$5&gt;=VLOOKUP($A16,WBS_계획!$A:$O,7,FALSE()),Y$5&lt;=VLOOKUP($A16,WBS_계획!$A:$O,8,FALSE())),"■","")</f>
        <v/>
      </c>
      <c r="Z16" s="67" t="str">
        <f>IF(AND(Z$5&gt;=VLOOKUP($A16,WBS_계획!$A:$O,7,FALSE()),Z$5&lt;=VLOOKUP($A16,WBS_계획!$A:$O,8,FALSE())),"■","")</f>
        <v/>
      </c>
      <c r="AA16" s="67" t="str">
        <f>IF(AND(AA$5&gt;=VLOOKUP($A16,WBS_계획!$A:$O,7,FALSE()),AA$5&lt;=VLOOKUP($A16,WBS_계획!$A:$O,8,FALSE())),"■","")</f>
        <v/>
      </c>
      <c r="AB16" s="67" t="str">
        <f>IF(AND(AB$5&gt;=VLOOKUP($A16,WBS_계획!$A:$O,7,FALSE()),AB$5&lt;=VLOOKUP($A16,WBS_계획!$A:$O,8,FALSE())),"■","")</f>
        <v/>
      </c>
      <c r="AC16" s="68" t="str">
        <f>IF(AND(AC$5&gt;=VLOOKUP($A16,WBS_계획!$A:$O,7,FALSE()),AC$5&lt;=VLOOKUP($A16,WBS_계획!$A:$O,8,FALSE())),"■","")</f>
        <v/>
      </c>
    </row>
    <row r="17" spans="1:29" ht="27.95" customHeight="1">
      <c r="A17" s="18" t="s">
        <v>358</v>
      </c>
      <c r="B17" s="13" t="s">
        <v>359</v>
      </c>
      <c r="C17" s="57" t="str">
        <f>VLOOKUP($A17,WBS_계획!$A:$O,6,FALSE)</f>
        <v>김예은</v>
      </c>
      <c r="D17" s="20" t="str">
        <f>VLOOKUP($A17,WBS_계획!$A:$O,12,FALSE)</f>
        <v>완료</v>
      </c>
      <c r="E17" s="65" t="str">
        <f>IF(AND(E$5&gt;=VLOOKUP($A17,WBS_계획!$A:$O,7,FALSE()),E$5&lt;=VLOOKUP($A17,WBS_계획!$A:$O,8,FALSE())),"■","")</f>
        <v/>
      </c>
      <c r="F17" s="65" t="str">
        <f>IF(AND(F$5&gt;=VLOOKUP($A17,WBS_계획!$A:$O,7,FALSE()),F$5&lt;=VLOOKUP($A17,WBS_계획!$A:$O,8,FALSE())),"■","")</f>
        <v/>
      </c>
      <c r="G17" s="65" t="str">
        <f>IF(AND(G$5&gt;=VLOOKUP($A17,WBS_계획!$A:$O,7,FALSE()),G$5&lt;=VLOOKUP($A17,WBS_계획!$A:$O,8,FALSE())),"■","")</f>
        <v/>
      </c>
      <c r="H17" s="65" t="str">
        <f>IF(AND(H$5&gt;=VLOOKUP($A17,WBS_계획!$A:$O,7,FALSE()),H$5&lt;=VLOOKUP($A17,WBS_계획!$A:$O,8,FALSE())),"■","")</f>
        <v/>
      </c>
      <c r="I17" s="65" t="str">
        <f>IF(AND(I$5&gt;=VLOOKUP($A17,WBS_계획!$A:$O,7,FALSE()),I$5&lt;=VLOOKUP($A17,WBS_계획!$A:$O,8,FALSE())),"■","")</f>
        <v/>
      </c>
      <c r="J17" s="65" t="str">
        <f>IF(AND(J$5&gt;=VLOOKUP($A17,WBS_계획!$A:$O,7,FALSE()),J$5&lt;=VLOOKUP($A17,WBS_계획!$A:$O,8,FALSE())),"■","")</f>
        <v>■</v>
      </c>
      <c r="K17" s="65" t="str">
        <f>IF(AND(K$5&gt;=VLOOKUP($A17,WBS_계획!$A:$O,7,FALSE()),K$5&lt;=VLOOKUP($A17,WBS_계획!$A:$O,8,FALSE())),"■","")</f>
        <v>■</v>
      </c>
      <c r="L17" s="65" t="str">
        <f>IF(AND(L$5&gt;=VLOOKUP($A17,WBS_계획!$A:$O,7,FALSE()),L$5&lt;=VLOOKUP($A17,WBS_계획!$A:$O,8,FALSE())),"■","")</f>
        <v>■</v>
      </c>
      <c r="M17" s="65" t="str">
        <f>IF(AND(M$5&gt;=VLOOKUP($A17,WBS_계획!$A:$O,7,FALSE()),M$5&lt;=VLOOKUP($A17,WBS_계획!$A:$O,8,FALSE())),"■","")</f>
        <v/>
      </c>
      <c r="N17" s="65" t="str">
        <f>IF(AND(N$5&gt;=VLOOKUP($A17,WBS_계획!$A:$O,7,FALSE()),N$5&lt;=VLOOKUP($A17,WBS_계획!$A:$O,8,FALSE())),"■","")</f>
        <v/>
      </c>
      <c r="O17" s="65" t="str">
        <f>IF(AND(O$5&gt;=VLOOKUP($A17,WBS_계획!$A:$O,7,FALSE()),O$5&lt;=VLOOKUP($A17,WBS_계획!$A:$O,8,FALSE())),"■","")</f>
        <v/>
      </c>
      <c r="P17" s="65" t="str">
        <f>IF(AND(P$5&gt;=VLOOKUP($A17,WBS_계획!$A:$O,7,FALSE()),P$5&lt;=VLOOKUP($A17,WBS_계획!$A:$O,8,FALSE())),"■","")</f>
        <v/>
      </c>
      <c r="Q17" s="65" t="str">
        <f>IF(AND(Q$5&gt;=VLOOKUP($A17,WBS_계획!$A:$O,7,FALSE()),Q$5&lt;=VLOOKUP($A17,WBS_계획!$A:$O,8,FALSE())),"■","")</f>
        <v/>
      </c>
      <c r="R17" s="65" t="str">
        <f>IF(AND(R$5&gt;=VLOOKUP($A17,WBS_계획!$A:$O,7,FALSE()),R$5&lt;=VLOOKUP($A17,WBS_계획!$A:$O,8,FALSE())),"■","")</f>
        <v/>
      </c>
      <c r="S17" s="65" t="str">
        <f>IF(AND(S$5&gt;=VLOOKUP($A17,WBS_계획!$A:$O,7,FALSE()),S$5&lt;=VLOOKUP($A17,WBS_계획!$A:$O,8,FALSE())),"■","")</f>
        <v/>
      </c>
      <c r="T17" s="65" t="str">
        <f>IF(AND(T$5&gt;=VLOOKUP($A17,WBS_계획!$A:$O,7,FALSE()),T$5&lt;=VLOOKUP($A17,WBS_계획!$A:$O,8,FALSE())),"■","")</f>
        <v/>
      </c>
      <c r="U17" s="65" t="str">
        <f>IF(AND(U$5&gt;=VLOOKUP($A17,WBS_계획!$A:$O,7,FALSE()),U$5&lt;=VLOOKUP($A17,WBS_계획!$A:$O,8,FALSE())),"■","")</f>
        <v/>
      </c>
      <c r="V17" s="65" t="str">
        <f>IF(AND(V$5&gt;=VLOOKUP($A17,WBS_계획!$A:$O,7,FALSE()),V$5&lt;=VLOOKUP($A17,WBS_계획!$A:$O,8,FALSE())),"■","")</f>
        <v/>
      </c>
      <c r="W17" s="65" t="str">
        <f>IF(AND(W$5&gt;=VLOOKUP($A17,WBS_계획!$A:$O,7,FALSE()),W$5&lt;=VLOOKUP($A17,WBS_계획!$A:$O,8,FALSE())),"■","")</f>
        <v/>
      </c>
      <c r="X17" s="66" t="str">
        <f>IF(AND(X$5&gt;=VLOOKUP($A17,WBS_계획!$A:$O,7,FALSE()),X$5&lt;=VLOOKUP($A17,WBS_계획!$A:$O,8,FALSE())),"■","")</f>
        <v/>
      </c>
      <c r="Y17" s="65" t="str">
        <f>IF(AND(Y$5&gt;=VLOOKUP($A17,WBS_계획!$A:$O,7,FALSE()),Y$5&lt;=VLOOKUP($A17,WBS_계획!$A:$O,8,FALSE())),"■","")</f>
        <v/>
      </c>
      <c r="Z17" s="65" t="str">
        <f>IF(AND(Z$5&gt;=VLOOKUP($A17,WBS_계획!$A:$O,7,FALSE()),Z$5&lt;=VLOOKUP($A17,WBS_계획!$A:$O,8,FALSE())),"■","")</f>
        <v/>
      </c>
      <c r="AA17" s="65" t="str">
        <f>IF(AND(AA$5&gt;=VLOOKUP($A17,WBS_계획!$A:$O,7,FALSE()),AA$5&lt;=VLOOKUP($A17,WBS_계획!$A:$O,8,FALSE())),"■","")</f>
        <v/>
      </c>
      <c r="AB17" s="65" t="str">
        <f>IF(AND(AB$5&gt;=VLOOKUP($A17,WBS_계획!$A:$O,7,FALSE()),AB$5&lt;=VLOOKUP($A17,WBS_계획!$A:$O,8,FALSE())),"■","")</f>
        <v/>
      </c>
      <c r="AC17" s="66" t="str">
        <f>IF(AND(AC$5&gt;=VLOOKUP($A17,WBS_계획!$A:$O,7,FALSE()),AC$5&lt;=VLOOKUP($A17,WBS_계획!$A:$O,8,FALSE())),"■","")</f>
        <v/>
      </c>
    </row>
    <row r="18" spans="1:29" ht="27.95" customHeight="1">
      <c r="A18" s="18" t="s">
        <v>350</v>
      </c>
      <c r="B18" s="13" t="s">
        <v>141</v>
      </c>
      <c r="C18" s="57" t="str">
        <f>VLOOKUP($A18,WBS_계획!$A:$O,6,FALSE)</f>
        <v>강유나</v>
      </c>
      <c r="D18" s="20" t="str">
        <f>VLOOKUP($A18,WBS_계획!$A:$O,12,FALSE)</f>
        <v>완료</v>
      </c>
      <c r="E18" s="65" t="str">
        <f>IF(AND(E$5&gt;=VLOOKUP($A18,WBS_계획!$A:$O,7,FALSE()),E$5&lt;=VLOOKUP($A18,WBS_계획!$A:$O,8,FALSE())),"■","")</f>
        <v/>
      </c>
      <c r="F18" s="65" t="str">
        <f>IF(AND(F$5&gt;=VLOOKUP($A18,WBS_계획!$A:$O,7,FALSE()),F$5&lt;=VLOOKUP($A18,WBS_계획!$A:$O,8,FALSE())),"■","")</f>
        <v/>
      </c>
      <c r="G18" s="65" t="str">
        <f>IF(AND(G$5&gt;=VLOOKUP($A18,WBS_계획!$A:$O,7,FALSE()),G$5&lt;=VLOOKUP($A18,WBS_계획!$A:$O,8,FALSE())),"■","")</f>
        <v/>
      </c>
      <c r="H18" s="65" t="str">
        <f>IF(AND(H$5&gt;=VLOOKUP($A18,WBS_계획!$A:$O,7,FALSE()),H$5&lt;=VLOOKUP($A18,WBS_계획!$A:$O,8,FALSE())),"■","")</f>
        <v/>
      </c>
      <c r="I18" s="65" t="str">
        <f>IF(AND(I$5&gt;=VLOOKUP($A18,WBS_계획!$A:$O,7,FALSE()),I$5&lt;=VLOOKUP($A18,WBS_계획!$A:$O,8,FALSE())),"■","")</f>
        <v/>
      </c>
      <c r="J18" s="65" t="str">
        <f>IF(AND(J$5&gt;=VLOOKUP($A18,WBS_계획!$A:$O,7,FALSE()),J$5&lt;=VLOOKUP($A18,WBS_계획!$A:$O,8,FALSE())),"■","")</f>
        <v>■</v>
      </c>
      <c r="K18" s="65" t="str">
        <f>IF(AND(K$5&gt;=VLOOKUP($A18,WBS_계획!$A:$O,7,FALSE()),K$5&lt;=VLOOKUP($A18,WBS_계획!$A:$O,8,FALSE())),"■","")</f>
        <v>■</v>
      </c>
      <c r="L18" s="65" t="str">
        <f>IF(AND(L$5&gt;=VLOOKUP($A18,WBS_계획!$A:$O,7,FALSE()),L$5&lt;=VLOOKUP($A18,WBS_계획!$A:$O,8,FALSE())),"■","")</f>
        <v>■</v>
      </c>
      <c r="M18" s="65" t="str">
        <f>IF(AND(M$5&gt;=VLOOKUP($A18,WBS_계획!$A:$O,7,FALSE()),M$5&lt;=VLOOKUP($A18,WBS_계획!$A:$O,8,FALSE())),"■","")</f>
        <v>■</v>
      </c>
      <c r="N18" s="65" t="str">
        <f>IF(AND(N$5&gt;=VLOOKUP($A18,WBS_계획!$A:$O,7,FALSE()),N$5&lt;=VLOOKUP($A18,WBS_계획!$A:$O,8,FALSE())),"■","")</f>
        <v/>
      </c>
      <c r="O18" s="65" t="str">
        <f>IF(AND(O$5&gt;=VLOOKUP($A18,WBS_계획!$A:$O,7,FALSE()),O$5&lt;=VLOOKUP($A18,WBS_계획!$A:$O,8,FALSE())),"■","")</f>
        <v/>
      </c>
      <c r="P18" s="65" t="str">
        <f>IF(AND(P$5&gt;=VLOOKUP($A18,WBS_계획!$A:$O,7,FALSE()),P$5&lt;=VLOOKUP($A18,WBS_계획!$A:$O,8,FALSE())),"■","")</f>
        <v/>
      </c>
      <c r="Q18" s="65" t="str">
        <f>IF(AND(Q$5&gt;=VLOOKUP($A18,WBS_계획!$A:$O,7,FALSE()),Q$5&lt;=VLOOKUP($A18,WBS_계획!$A:$O,8,FALSE())),"■","")</f>
        <v/>
      </c>
      <c r="R18" s="65" t="str">
        <f>IF(AND(R$5&gt;=VLOOKUP($A18,WBS_계획!$A:$O,7,FALSE()),R$5&lt;=VLOOKUP($A18,WBS_계획!$A:$O,8,FALSE())),"■","")</f>
        <v/>
      </c>
      <c r="S18" s="65" t="str">
        <f>IF(AND(S$5&gt;=VLOOKUP($A18,WBS_계획!$A:$O,7,FALSE()),S$5&lt;=VLOOKUP($A18,WBS_계획!$A:$O,8,FALSE())),"■","")</f>
        <v/>
      </c>
      <c r="T18" s="65" t="str">
        <f>IF(AND(T$5&gt;=VLOOKUP($A18,WBS_계획!$A:$O,7,FALSE()),T$5&lt;=VLOOKUP($A18,WBS_계획!$A:$O,8,FALSE())),"■","")</f>
        <v/>
      </c>
      <c r="U18" s="65" t="str">
        <f>IF(AND(U$5&gt;=VLOOKUP($A18,WBS_계획!$A:$O,7,FALSE()),U$5&lt;=VLOOKUP($A18,WBS_계획!$A:$O,8,FALSE())),"■","")</f>
        <v/>
      </c>
      <c r="V18" s="65" t="str">
        <f>IF(AND(V$5&gt;=VLOOKUP($A18,WBS_계획!$A:$O,7,FALSE()),V$5&lt;=VLOOKUP($A18,WBS_계획!$A:$O,8,FALSE())),"■","")</f>
        <v/>
      </c>
      <c r="W18" s="65" t="str">
        <f>IF(AND(W$5&gt;=VLOOKUP($A18,WBS_계획!$A:$O,7,FALSE()),W$5&lt;=VLOOKUP($A18,WBS_계획!$A:$O,8,FALSE())),"■","")</f>
        <v/>
      </c>
      <c r="X18" s="66" t="str">
        <f>IF(AND(X$5&gt;=VLOOKUP($A18,WBS_계획!$A:$O,7,FALSE()),X$5&lt;=VLOOKUP($A18,WBS_계획!$A:$O,8,FALSE())),"■","")</f>
        <v/>
      </c>
      <c r="Y18" s="65" t="str">
        <f>IF(AND(Y$5&gt;=VLOOKUP($A18,WBS_계획!$A:$O,7,FALSE()),Y$5&lt;=VLOOKUP($A18,WBS_계획!$A:$O,8,FALSE())),"■","")</f>
        <v/>
      </c>
      <c r="Z18" s="65" t="str">
        <f>IF(AND(Z$5&gt;=VLOOKUP($A18,WBS_계획!$A:$O,7,FALSE()),Z$5&lt;=VLOOKUP($A18,WBS_계획!$A:$O,8,FALSE())),"■","")</f>
        <v/>
      </c>
      <c r="AA18" s="65" t="str">
        <f>IF(AND(AA$5&gt;=VLOOKUP($A18,WBS_계획!$A:$O,7,FALSE()),AA$5&lt;=VLOOKUP($A18,WBS_계획!$A:$O,8,FALSE())),"■","")</f>
        <v/>
      </c>
      <c r="AB18" s="65" t="str">
        <f>IF(AND(AB$5&gt;=VLOOKUP($A18,WBS_계획!$A:$O,7,FALSE()),AB$5&lt;=VLOOKUP($A18,WBS_계획!$A:$O,8,FALSE())),"■","")</f>
        <v/>
      </c>
      <c r="AC18" s="66" t="str">
        <f>IF(AND(AC$5&gt;=VLOOKUP($A18,WBS_계획!$A:$O,7,FALSE()),AC$5&lt;=VLOOKUP($A18,WBS_계획!$A:$O,8,FALSE())),"■","")</f>
        <v/>
      </c>
    </row>
    <row r="19" spans="1:29" ht="27.95" customHeight="1">
      <c r="A19" s="18" t="s">
        <v>351</v>
      </c>
      <c r="B19" s="13" t="s">
        <v>352</v>
      </c>
      <c r="C19" s="57" t="str">
        <f>VLOOKUP($A19,WBS_계획!$A:$O,6,FALSE)</f>
        <v>강유나</v>
      </c>
      <c r="D19" s="20" t="str">
        <f>VLOOKUP($A19,WBS_계획!$A:$O,12,FALSE)</f>
        <v>완료</v>
      </c>
      <c r="E19" s="65" t="str">
        <f>IF(AND(E$5&gt;=VLOOKUP($A19,WBS_계획!$A:$O,7,FALSE()),E$5&lt;=VLOOKUP($A19,WBS_계획!$A:$O,8,FALSE())),"■","")</f>
        <v/>
      </c>
      <c r="F19" s="65" t="str">
        <f>IF(AND(F$5&gt;=VLOOKUP($A19,WBS_계획!$A:$O,7,FALSE()),F$5&lt;=VLOOKUP($A19,WBS_계획!$A:$O,8,FALSE())),"■","")</f>
        <v/>
      </c>
      <c r="G19" s="65" t="str">
        <f>IF(AND(G$5&gt;=VLOOKUP($A19,WBS_계획!$A:$O,7,FALSE()),G$5&lt;=VLOOKUP($A19,WBS_계획!$A:$O,8,FALSE())),"■","")</f>
        <v/>
      </c>
      <c r="H19" s="65" t="str">
        <f>IF(AND(H$5&gt;=VLOOKUP($A19,WBS_계획!$A:$O,7,FALSE()),H$5&lt;=VLOOKUP($A19,WBS_계획!$A:$O,8,FALSE())),"■","")</f>
        <v/>
      </c>
      <c r="I19" s="65" t="str">
        <f>IF(AND(I$5&gt;=VLOOKUP($A19,WBS_계획!$A:$O,7,FALSE()),I$5&lt;=VLOOKUP($A19,WBS_계획!$A:$O,8,FALSE())),"■","")</f>
        <v/>
      </c>
      <c r="J19" s="65" t="str">
        <f>IF(AND(J$5&gt;=VLOOKUP($A19,WBS_계획!$A:$O,7,FALSE()),J$5&lt;=VLOOKUP($A19,WBS_계획!$A:$O,8,FALSE())),"■","")</f>
        <v>■</v>
      </c>
      <c r="K19" s="65" t="str">
        <f>IF(AND(K$5&gt;=VLOOKUP($A19,WBS_계획!$A:$O,7,FALSE()),K$5&lt;=VLOOKUP($A19,WBS_계획!$A:$O,8,FALSE())),"■","")</f>
        <v>■</v>
      </c>
      <c r="L19" s="65" t="str">
        <f>IF(AND(L$5&gt;=VLOOKUP($A19,WBS_계획!$A:$O,7,FALSE()),L$5&lt;=VLOOKUP($A19,WBS_계획!$A:$O,8,FALSE())),"■","")</f>
        <v>■</v>
      </c>
      <c r="M19" s="65" t="str">
        <f>IF(AND(M$5&gt;=VLOOKUP($A19,WBS_계획!$A:$O,7,FALSE()),M$5&lt;=VLOOKUP($A19,WBS_계획!$A:$O,8,FALSE())),"■","")</f>
        <v>■</v>
      </c>
      <c r="N19" s="65" t="str">
        <f>IF(AND(N$5&gt;=VLOOKUP($A19,WBS_계획!$A:$O,7,FALSE()),N$5&lt;=VLOOKUP($A19,WBS_계획!$A:$O,8,FALSE())),"■","")</f>
        <v/>
      </c>
      <c r="O19" s="65" t="str">
        <f>IF(AND(O$5&gt;=VLOOKUP($A19,WBS_계획!$A:$O,7,FALSE()),O$5&lt;=VLOOKUP($A19,WBS_계획!$A:$O,8,FALSE())),"■","")</f>
        <v/>
      </c>
      <c r="P19" s="65" t="str">
        <f>IF(AND(P$5&gt;=VLOOKUP($A19,WBS_계획!$A:$O,7,FALSE()),P$5&lt;=VLOOKUP($A19,WBS_계획!$A:$O,8,FALSE())),"■","")</f>
        <v/>
      </c>
      <c r="Q19" s="65" t="str">
        <f>IF(AND(Q$5&gt;=VLOOKUP($A19,WBS_계획!$A:$O,7,FALSE()),Q$5&lt;=VLOOKUP($A19,WBS_계획!$A:$O,8,FALSE())),"■","")</f>
        <v/>
      </c>
      <c r="R19" s="65" t="str">
        <f>IF(AND(R$5&gt;=VLOOKUP($A19,WBS_계획!$A:$O,7,FALSE()),R$5&lt;=VLOOKUP($A19,WBS_계획!$A:$O,8,FALSE())),"■","")</f>
        <v/>
      </c>
      <c r="S19" s="65" t="str">
        <f>IF(AND(S$5&gt;=VLOOKUP($A19,WBS_계획!$A:$O,7,FALSE()),S$5&lt;=VLOOKUP($A19,WBS_계획!$A:$O,8,FALSE())),"■","")</f>
        <v/>
      </c>
      <c r="T19" s="65" t="str">
        <f>IF(AND(T$5&gt;=VLOOKUP($A19,WBS_계획!$A:$O,7,FALSE()),T$5&lt;=VLOOKUP($A19,WBS_계획!$A:$O,8,FALSE())),"■","")</f>
        <v/>
      </c>
      <c r="U19" s="65" t="str">
        <f>IF(AND(U$5&gt;=VLOOKUP($A19,WBS_계획!$A:$O,7,FALSE()),U$5&lt;=VLOOKUP($A19,WBS_계획!$A:$O,8,FALSE())),"■","")</f>
        <v/>
      </c>
      <c r="V19" s="65" t="str">
        <f>IF(AND(V$5&gt;=VLOOKUP($A19,WBS_계획!$A:$O,7,FALSE()),V$5&lt;=VLOOKUP($A19,WBS_계획!$A:$O,8,FALSE())),"■","")</f>
        <v/>
      </c>
      <c r="W19" s="65" t="str">
        <f>IF(AND(W$5&gt;=VLOOKUP($A19,WBS_계획!$A:$O,7,FALSE()),W$5&lt;=VLOOKUP($A19,WBS_계획!$A:$O,8,FALSE())),"■","")</f>
        <v/>
      </c>
      <c r="X19" s="66" t="str">
        <f>IF(AND(X$5&gt;=VLOOKUP($A19,WBS_계획!$A:$O,7,FALSE()),X$5&lt;=VLOOKUP($A19,WBS_계획!$A:$O,8,FALSE())),"■","")</f>
        <v/>
      </c>
      <c r="Y19" s="65" t="str">
        <f>IF(AND(Y$5&gt;=VLOOKUP($A19,WBS_계획!$A:$O,7,FALSE()),Y$5&lt;=VLOOKUP($A19,WBS_계획!$A:$O,8,FALSE())),"■","")</f>
        <v/>
      </c>
      <c r="Z19" s="65" t="str">
        <f>IF(AND(Z$5&gt;=VLOOKUP($A19,WBS_계획!$A:$O,7,FALSE()),Z$5&lt;=VLOOKUP($A19,WBS_계획!$A:$O,8,FALSE())),"■","")</f>
        <v/>
      </c>
      <c r="AA19" s="65" t="str">
        <f>IF(AND(AA$5&gt;=VLOOKUP($A19,WBS_계획!$A:$O,7,FALSE()),AA$5&lt;=VLOOKUP($A19,WBS_계획!$A:$O,8,FALSE())),"■","")</f>
        <v/>
      </c>
      <c r="AB19" s="65" t="str">
        <f>IF(AND(AB$5&gt;=VLOOKUP($A19,WBS_계획!$A:$O,7,FALSE()),AB$5&lt;=VLOOKUP($A19,WBS_계획!$A:$O,8,FALSE())),"■","")</f>
        <v/>
      </c>
      <c r="AC19" s="66" t="str">
        <f>IF(AND(AC$5&gt;=VLOOKUP($A19,WBS_계획!$A:$O,7,FALSE()),AC$5&lt;=VLOOKUP($A19,WBS_계획!$A:$O,8,FALSE())),"■","")</f>
        <v/>
      </c>
    </row>
    <row r="20" spans="1:29" ht="27.95" customHeight="1">
      <c r="A20" s="18" t="s">
        <v>340</v>
      </c>
      <c r="B20" s="13" t="s">
        <v>341</v>
      </c>
      <c r="C20" s="57" t="str">
        <f>VLOOKUP($A20,WBS_계획!$A:$O,6,FALSE)</f>
        <v>강유나</v>
      </c>
      <c r="D20" s="20" t="str">
        <f>VLOOKUP($A20,WBS_계획!$A:$O,12,FALSE)</f>
        <v>완료</v>
      </c>
      <c r="E20" s="65" t="str">
        <f>IF(AND(E$5&gt;=VLOOKUP($A20,WBS_계획!$A:$O,7,FALSE()),E$5&lt;=VLOOKUP($A20,WBS_계획!$A:$O,8,FALSE())),"■","")</f>
        <v/>
      </c>
      <c r="F20" s="65" t="str">
        <f>IF(AND(F$5&gt;=VLOOKUP($A20,WBS_계획!$A:$O,7,FALSE()),F$5&lt;=VLOOKUP($A20,WBS_계획!$A:$O,8,FALSE())),"■","")</f>
        <v/>
      </c>
      <c r="G20" s="65" t="str">
        <f>IF(AND(G$5&gt;=VLOOKUP($A20,WBS_계획!$A:$O,7,FALSE()),G$5&lt;=VLOOKUP($A20,WBS_계획!$A:$O,8,FALSE())),"■","")</f>
        <v/>
      </c>
      <c r="H20" s="65" t="str">
        <f>IF(AND(H$5&gt;=VLOOKUP($A20,WBS_계획!$A:$O,7,FALSE()),H$5&lt;=VLOOKUP($A20,WBS_계획!$A:$O,8,FALSE())),"■","")</f>
        <v/>
      </c>
      <c r="I20" s="65" t="str">
        <f>IF(AND(I$5&gt;=VLOOKUP($A20,WBS_계획!$A:$O,7,FALSE()),I$5&lt;=VLOOKUP($A20,WBS_계획!$A:$O,8,FALSE())),"■","")</f>
        <v/>
      </c>
      <c r="J20" s="65" t="str">
        <f>IF(AND(J$5&gt;=VLOOKUP($A20,WBS_계획!$A:$O,7,FALSE()),J$5&lt;=VLOOKUP($A20,WBS_계획!$A:$O,8,FALSE())),"■","")</f>
        <v>■</v>
      </c>
      <c r="K20" s="65" t="str">
        <f>IF(AND(K$5&gt;=VLOOKUP($A20,WBS_계획!$A:$O,7,FALSE()),K$5&lt;=VLOOKUP($A20,WBS_계획!$A:$O,8,FALSE())),"■","")</f>
        <v>■</v>
      </c>
      <c r="L20" s="65" t="str">
        <f>IF(AND(L$5&gt;=VLOOKUP($A20,WBS_계획!$A:$O,7,FALSE()),L$5&lt;=VLOOKUP($A20,WBS_계획!$A:$O,8,FALSE())),"■","")</f>
        <v>■</v>
      </c>
      <c r="M20" s="65" t="str">
        <f>IF(AND(M$5&gt;=VLOOKUP($A20,WBS_계획!$A:$O,7,FALSE()),M$5&lt;=VLOOKUP($A20,WBS_계획!$A:$O,8,FALSE())),"■","")</f>
        <v>■</v>
      </c>
      <c r="N20" s="65" t="str">
        <f>IF(AND(N$5&gt;=VLOOKUP($A20,WBS_계획!$A:$O,7,FALSE()),N$5&lt;=VLOOKUP($A20,WBS_계획!$A:$O,8,FALSE())),"■","")</f>
        <v/>
      </c>
      <c r="O20" s="65" t="str">
        <f>IF(AND(O$5&gt;=VLOOKUP($A20,WBS_계획!$A:$O,7,FALSE()),O$5&lt;=VLOOKUP($A20,WBS_계획!$A:$O,8,FALSE())),"■","")</f>
        <v/>
      </c>
      <c r="P20" s="65" t="str">
        <f>IF(AND(P$5&gt;=VLOOKUP($A20,WBS_계획!$A:$O,7,FALSE()),P$5&lt;=VLOOKUP($A20,WBS_계획!$A:$O,8,FALSE())),"■","")</f>
        <v/>
      </c>
      <c r="Q20" s="65" t="str">
        <f>IF(AND(Q$5&gt;=VLOOKUP($A20,WBS_계획!$A:$O,7,FALSE()),Q$5&lt;=VLOOKUP($A20,WBS_계획!$A:$O,8,FALSE())),"■","")</f>
        <v/>
      </c>
      <c r="R20" s="65" t="str">
        <f>IF(AND(R$5&gt;=VLOOKUP($A20,WBS_계획!$A:$O,7,FALSE()),R$5&lt;=VLOOKUP($A20,WBS_계획!$A:$O,8,FALSE())),"■","")</f>
        <v/>
      </c>
      <c r="S20" s="65" t="str">
        <f>IF(AND(S$5&gt;=VLOOKUP($A20,WBS_계획!$A:$O,7,FALSE()),S$5&lt;=VLOOKUP($A20,WBS_계획!$A:$O,8,FALSE())),"■","")</f>
        <v/>
      </c>
      <c r="T20" s="65" t="str">
        <f>IF(AND(T$5&gt;=VLOOKUP($A20,WBS_계획!$A:$O,7,FALSE()),T$5&lt;=VLOOKUP($A20,WBS_계획!$A:$O,8,FALSE())),"■","")</f>
        <v/>
      </c>
      <c r="U20" s="65" t="str">
        <f>IF(AND(U$5&gt;=VLOOKUP($A20,WBS_계획!$A:$O,7,FALSE()),U$5&lt;=VLOOKUP($A20,WBS_계획!$A:$O,8,FALSE())),"■","")</f>
        <v/>
      </c>
      <c r="V20" s="65" t="str">
        <f>IF(AND(V$5&gt;=VLOOKUP($A20,WBS_계획!$A:$O,7,FALSE()),V$5&lt;=VLOOKUP($A20,WBS_계획!$A:$O,8,FALSE())),"■","")</f>
        <v/>
      </c>
      <c r="W20" s="65" t="str">
        <f>IF(AND(W$5&gt;=VLOOKUP($A20,WBS_계획!$A:$O,7,FALSE()),W$5&lt;=VLOOKUP($A20,WBS_계획!$A:$O,8,FALSE())),"■","")</f>
        <v/>
      </c>
      <c r="X20" s="66" t="str">
        <f>IF(AND(X$5&gt;=VLOOKUP($A20,WBS_계획!$A:$O,7,FALSE()),X$5&lt;=VLOOKUP($A20,WBS_계획!$A:$O,8,FALSE())),"■","")</f>
        <v/>
      </c>
      <c r="Y20" s="65" t="str">
        <f>IF(AND(Y$5&gt;=VLOOKUP($A20,WBS_계획!$A:$O,7,FALSE()),Y$5&lt;=VLOOKUP($A20,WBS_계획!$A:$O,8,FALSE())),"■","")</f>
        <v/>
      </c>
      <c r="Z20" s="65" t="str">
        <f>IF(AND(Z$5&gt;=VLOOKUP($A20,WBS_계획!$A:$O,7,FALSE()),Z$5&lt;=VLOOKUP($A20,WBS_계획!$A:$O,8,FALSE())),"■","")</f>
        <v/>
      </c>
      <c r="AA20" s="65" t="str">
        <f>IF(AND(AA$5&gt;=VLOOKUP($A20,WBS_계획!$A:$O,7,FALSE()),AA$5&lt;=VLOOKUP($A20,WBS_계획!$A:$O,8,FALSE())),"■","")</f>
        <v/>
      </c>
      <c r="AB20" s="65" t="str">
        <f>IF(AND(AB$5&gt;=VLOOKUP($A20,WBS_계획!$A:$O,7,FALSE()),AB$5&lt;=VLOOKUP($A20,WBS_계획!$A:$O,8,FALSE())),"■","")</f>
        <v/>
      </c>
      <c r="AC20" s="66" t="str">
        <f>IF(AND(AC$5&gt;=VLOOKUP($A20,WBS_계획!$A:$O,7,FALSE()),AC$5&lt;=VLOOKUP($A20,WBS_계획!$A:$O,8,FALSE())),"■","")</f>
        <v/>
      </c>
    </row>
    <row r="21" spans="1:29" ht="27.95" customHeight="1">
      <c r="A21" s="18" t="s">
        <v>360</v>
      </c>
      <c r="B21" s="13" t="s">
        <v>361</v>
      </c>
      <c r="C21" s="57" t="str">
        <f>VLOOKUP($A21,WBS_계획!$A:$O,6,FALSE)</f>
        <v>강유나</v>
      </c>
      <c r="D21" s="20" t="str">
        <f>VLOOKUP($A21,WBS_계획!$A:$O,12,FALSE)</f>
        <v>완료</v>
      </c>
      <c r="E21" s="65" t="str">
        <f>IF(AND(E$5&gt;=VLOOKUP($A21,WBS_계획!$A:$O,7,FALSE()),E$5&lt;=VLOOKUP($A21,WBS_계획!$A:$O,8,FALSE())),"■","")</f>
        <v/>
      </c>
      <c r="F21" s="65" t="str">
        <f>IF(AND(F$5&gt;=VLOOKUP($A21,WBS_계획!$A:$O,7,FALSE()),F$5&lt;=VLOOKUP($A21,WBS_계획!$A:$O,8,FALSE())),"■","")</f>
        <v/>
      </c>
      <c r="G21" s="65" t="str">
        <f>IF(AND(G$5&gt;=VLOOKUP($A21,WBS_계획!$A:$O,7,FALSE()),G$5&lt;=VLOOKUP($A21,WBS_계획!$A:$O,8,FALSE())),"■","")</f>
        <v/>
      </c>
      <c r="H21" s="65" t="str">
        <f>IF(AND(H$5&gt;=VLOOKUP($A21,WBS_계획!$A:$O,7,FALSE()),H$5&lt;=VLOOKUP($A21,WBS_계획!$A:$O,8,FALSE())),"■","")</f>
        <v/>
      </c>
      <c r="I21" s="65" t="str">
        <f>IF(AND(I$5&gt;=VLOOKUP($A21,WBS_계획!$A:$O,7,FALSE()),I$5&lt;=VLOOKUP($A21,WBS_계획!$A:$O,8,FALSE())),"■","")</f>
        <v/>
      </c>
      <c r="J21" s="65" t="str">
        <f>IF(AND(J$5&gt;=VLOOKUP($A21,WBS_계획!$A:$O,7,FALSE()),J$5&lt;=VLOOKUP($A21,WBS_계획!$A:$O,8,FALSE())),"■","")</f>
        <v>■</v>
      </c>
      <c r="K21" s="65" t="str">
        <f>IF(AND(K$5&gt;=VLOOKUP($A21,WBS_계획!$A:$O,7,FALSE()),K$5&lt;=VLOOKUP($A21,WBS_계획!$A:$O,8,FALSE())),"■","")</f>
        <v>■</v>
      </c>
      <c r="L21" s="65" t="str">
        <f>IF(AND(L$5&gt;=VLOOKUP($A21,WBS_계획!$A:$O,7,FALSE()),L$5&lt;=VLOOKUP($A21,WBS_계획!$A:$O,8,FALSE())),"■","")</f>
        <v>■</v>
      </c>
      <c r="M21" s="65" t="str">
        <f>IF(AND(M$5&gt;=VLOOKUP($A21,WBS_계획!$A:$O,7,FALSE()),M$5&lt;=VLOOKUP($A21,WBS_계획!$A:$O,8,FALSE())),"■","")</f>
        <v>■</v>
      </c>
      <c r="N21" s="65" t="str">
        <f>IF(AND(N$5&gt;=VLOOKUP($A21,WBS_계획!$A:$O,7,FALSE()),N$5&lt;=VLOOKUP($A21,WBS_계획!$A:$O,8,FALSE())),"■","")</f>
        <v/>
      </c>
      <c r="O21" s="65" t="str">
        <f>IF(AND(O$5&gt;=VLOOKUP($A21,WBS_계획!$A:$O,7,FALSE()),O$5&lt;=VLOOKUP($A21,WBS_계획!$A:$O,8,FALSE())),"■","")</f>
        <v/>
      </c>
      <c r="P21" s="65" t="str">
        <f>IF(AND(P$5&gt;=VLOOKUP($A21,WBS_계획!$A:$O,7,FALSE()),P$5&lt;=VLOOKUP($A21,WBS_계획!$A:$O,8,FALSE())),"■","")</f>
        <v/>
      </c>
      <c r="Q21" s="65" t="str">
        <f>IF(AND(Q$5&gt;=VLOOKUP($A21,WBS_계획!$A:$O,7,FALSE()),Q$5&lt;=VLOOKUP($A21,WBS_계획!$A:$O,8,FALSE())),"■","")</f>
        <v/>
      </c>
      <c r="R21" s="65" t="str">
        <f>IF(AND(R$5&gt;=VLOOKUP($A21,WBS_계획!$A:$O,7,FALSE()),R$5&lt;=VLOOKUP($A21,WBS_계획!$A:$O,8,FALSE())),"■","")</f>
        <v/>
      </c>
      <c r="S21" s="65" t="str">
        <f>IF(AND(S$5&gt;=VLOOKUP($A21,WBS_계획!$A:$O,7,FALSE()),S$5&lt;=VLOOKUP($A21,WBS_계획!$A:$O,8,FALSE())),"■","")</f>
        <v/>
      </c>
      <c r="T21" s="65" t="str">
        <f>IF(AND(T$5&gt;=VLOOKUP($A21,WBS_계획!$A:$O,7,FALSE()),T$5&lt;=VLOOKUP($A21,WBS_계획!$A:$O,8,FALSE())),"■","")</f>
        <v/>
      </c>
      <c r="U21" s="65" t="str">
        <f>IF(AND(U$5&gt;=VLOOKUP($A21,WBS_계획!$A:$O,7,FALSE()),U$5&lt;=VLOOKUP($A21,WBS_계획!$A:$O,8,FALSE())),"■","")</f>
        <v/>
      </c>
      <c r="V21" s="65" t="str">
        <f>IF(AND(V$5&gt;=VLOOKUP($A21,WBS_계획!$A:$O,7,FALSE()),V$5&lt;=VLOOKUP($A21,WBS_계획!$A:$O,8,FALSE())),"■","")</f>
        <v/>
      </c>
      <c r="W21" s="65" t="str">
        <f>IF(AND(W$5&gt;=VLOOKUP($A21,WBS_계획!$A:$O,7,FALSE()),W$5&lt;=VLOOKUP($A21,WBS_계획!$A:$O,8,FALSE())),"■","")</f>
        <v/>
      </c>
      <c r="X21" s="66" t="str">
        <f>IF(AND(X$5&gt;=VLOOKUP($A21,WBS_계획!$A:$O,7,FALSE()),X$5&lt;=VLOOKUP($A21,WBS_계획!$A:$O,8,FALSE())),"■","")</f>
        <v/>
      </c>
      <c r="Y21" s="65" t="str">
        <f>IF(AND(Y$5&gt;=VLOOKUP($A21,WBS_계획!$A:$O,7,FALSE()),Y$5&lt;=VLOOKUP($A21,WBS_계획!$A:$O,8,FALSE())),"■","")</f>
        <v/>
      </c>
      <c r="Z21" s="65" t="str">
        <f>IF(AND(Z$5&gt;=VLOOKUP($A21,WBS_계획!$A:$O,7,FALSE()),Z$5&lt;=VLOOKUP($A21,WBS_계획!$A:$O,8,FALSE())),"■","")</f>
        <v/>
      </c>
      <c r="AA21" s="65" t="str">
        <f>IF(AND(AA$5&gt;=VLOOKUP($A21,WBS_계획!$A:$O,7,FALSE()),AA$5&lt;=VLOOKUP($A21,WBS_계획!$A:$O,8,FALSE())),"■","")</f>
        <v/>
      </c>
      <c r="AB21" s="65" t="str">
        <f>IF(AND(AB$5&gt;=VLOOKUP($A21,WBS_계획!$A:$O,7,FALSE()),AB$5&lt;=VLOOKUP($A21,WBS_계획!$A:$O,8,FALSE())),"■","")</f>
        <v/>
      </c>
      <c r="AC21" s="66" t="str">
        <f>IF(AND(AC$5&gt;=VLOOKUP($A21,WBS_계획!$A:$O,7,FALSE()),AC$5&lt;=VLOOKUP($A21,WBS_계획!$A:$O,8,FALSE())),"■","")</f>
        <v/>
      </c>
    </row>
    <row r="22" spans="1:29" ht="27.95" customHeight="1">
      <c r="A22" s="18" t="s">
        <v>259</v>
      </c>
      <c r="B22" s="13" t="s">
        <v>333</v>
      </c>
      <c r="C22" s="57" t="str">
        <f>VLOOKUP($A22,WBS_계획!$A:$O,6,FALSE)</f>
        <v>김예은</v>
      </c>
      <c r="D22" s="20" t="str">
        <f>VLOOKUP($A22,WBS_계획!$A:$O,12,FALSE)</f>
        <v>완료</v>
      </c>
      <c r="E22" s="65" t="str">
        <f>IF(AND(E$5&gt;=VLOOKUP($A22,WBS_계획!$A:$O,7,FALSE()),E$5&lt;=VLOOKUP($A22,WBS_계획!$A:$O,8,FALSE())),"■","")</f>
        <v/>
      </c>
      <c r="F22" s="65" t="str">
        <f>IF(AND(F$5&gt;=VLOOKUP($A22,WBS_계획!$A:$O,7,FALSE()),F$5&lt;=VLOOKUP($A22,WBS_계획!$A:$O,8,FALSE())),"■","")</f>
        <v/>
      </c>
      <c r="G22" s="65" t="str">
        <f>IF(AND(G$5&gt;=VLOOKUP($A22,WBS_계획!$A:$O,7,FALSE()),G$5&lt;=VLOOKUP($A22,WBS_계획!$A:$O,8,FALSE())),"■","")</f>
        <v/>
      </c>
      <c r="H22" s="65" t="str">
        <f>IF(AND(H$5&gt;=VLOOKUP($A22,WBS_계획!$A:$O,7,FALSE()),H$5&lt;=VLOOKUP($A22,WBS_계획!$A:$O,8,FALSE())),"■","")</f>
        <v/>
      </c>
      <c r="I22" s="65" t="str">
        <f>IF(AND(I$5&gt;=VLOOKUP($A22,WBS_계획!$A:$O,7,FALSE()),I$5&lt;=VLOOKUP($A22,WBS_계획!$A:$O,8,FALSE())),"■","")</f>
        <v/>
      </c>
      <c r="J22" s="65" t="str">
        <f>IF(AND(J$5&gt;=VLOOKUP($A22,WBS_계획!$A:$O,7,FALSE()),J$5&lt;=VLOOKUP($A22,WBS_계획!$A:$O,8,FALSE())),"■","")</f>
        <v>■</v>
      </c>
      <c r="K22" s="65" t="str">
        <f>IF(AND(K$5&gt;=VLOOKUP($A22,WBS_계획!$A:$O,7,FALSE()),K$5&lt;=VLOOKUP($A22,WBS_계획!$A:$O,8,FALSE())),"■","")</f>
        <v>■</v>
      </c>
      <c r="L22" s="65" t="str">
        <f>IF(AND(L$5&gt;=VLOOKUP($A22,WBS_계획!$A:$O,7,FALSE()),L$5&lt;=VLOOKUP($A22,WBS_계획!$A:$O,8,FALSE())),"■","")</f>
        <v>■</v>
      </c>
      <c r="M22" s="65" t="str">
        <f>IF(AND(M$5&gt;=VLOOKUP($A22,WBS_계획!$A:$O,7,FALSE()),M$5&lt;=VLOOKUP($A22,WBS_계획!$A:$O,8,FALSE())),"■","")</f>
        <v>■</v>
      </c>
      <c r="N22" s="65" t="str">
        <f>IF(AND(N$5&gt;=VLOOKUP($A22,WBS_계획!$A:$O,7,FALSE()),N$5&lt;=VLOOKUP($A22,WBS_계획!$A:$O,8,FALSE())),"■","")</f>
        <v>■</v>
      </c>
      <c r="O22" s="65" t="str">
        <f>IF(AND(O$5&gt;=VLOOKUP($A22,WBS_계획!$A:$O,7,FALSE()),O$5&lt;=VLOOKUP($A22,WBS_계획!$A:$O,8,FALSE())),"■","")</f>
        <v>■</v>
      </c>
      <c r="P22" s="65" t="str">
        <f>IF(AND(P$5&gt;=VLOOKUP($A22,WBS_계획!$A:$O,7,FALSE()),P$5&lt;=VLOOKUP($A22,WBS_계획!$A:$O,8,FALSE())),"■","")</f>
        <v>■</v>
      </c>
      <c r="Q22" s="65" t="str">
        <f>IF(AND(Q$5&gt;=VLOOKUP($A22,WBS_계획!$A:$O,7,FALSE()),Q$5&lt;=VLOOKUP($A22,WBS_계획!$A:$O,8,FALSE())),"■","")</f>
        <v/>
      </c>
      <c r="R22" s="65" t="str">
        <f>IF(AND(R$5&gt;=VLOOKUP($A22,WBS_계획!$A:$O,7,FALSE()),R$5&lt;=VLOOKUP($A22,WBS_계획!$A:$O,8,FALSE())),"■","")</f>
        <v/>
      </c>
      <c r="S22" s="65" t="str">
        <f>IF(AND(S$5&gt;=VLOOKUP($A22,WBS_계획!$A:$O,7,FALSE()),S$5&lt;=VLOOKUP($A22,WBS_계획!$A:$O,8,FALSE())),"■","")</f>
        <v/>
      </c>
      <c r="T22" s="65" t="str">
        <f>IF(AND(T$5&gt;=VLOOKUP($A22,WBS_계획!$A:$O,7,FALSE()),T$5&lt;=VLOOKUP($A22,WBS_계획!$A:$O,8,FALSE())),"■","")</f>
        <v/>
      </c>
      <c r="U22" s="65" t="str">
        <f>IF(AND(U$5&gt;=VLOOKUP($A22,WBS_계획!$A:$O,7,FALSE()),U$5&lt;=VLOOKUP($A22,WBS_계획!$A:$O,8,FALSE())),"■","")</f>
        <v/>
      </c>
      <c r="V22" s="65" t="str">
        <f>IF(AND(V$5&gt;=VLOOKUP($A22,WBS_계획!$A:$O,7,FALSE()),V$5&lt;=VLOOKUP($A22,WBS_계획!$A:$O,8,FALSE())),"■","")</f>
        <v/>
      </c>
      <c r="W22" s="65" t="str">
        <f>IF(AND(W$5&gt;=VLOOKUP($A22,WBS_계획!$A:$O,7,FALSE()),W$5&lt;=VLOOKUP($A22,WBS_계획!$A:$O,8,FALSE())),"■","")</f>
        <v/>
      </c>
      <c r="X22" s="66" t="str">
        <f>IF(AND(X$5&gt;=VLOOKUP($A22,WBS_계획!$A:$O,7,FALSE()),X$5&lt;=VLOOKUP($A22,WBS_계획!$A:$O,8,FALSE())),"■","")</f>
        <v/>
      </c>
      <c r="Y22" s="65" t="str">
        <f>IF(AND(Y$5&gt;=VLOOKUP($A22,WBS_계획!$A:$O,7,FALSE()),Y$5&lt;=VLOOKUP($A22,WBS_계획!$A:$O,8,FALSE())),"■","")</f>
        <v/>
      </c>
      <c r="Z22" s="65" t="str">
        <f>IF(AND(Z$5&gt;=VLOOKUP($A22,WBS_계획!$A:$O,7,FALSE()),Z$5&lt;=VLOOKUP($A22,WBS_계획!$A:$O,8,FALSE())),"■","")</f>
        <v/>
      </c>
      <c r="AA22" s="65" t="str">
        <f>IF(AND(AA$5&gt;=VLOOKUP($A22,WBS_계획!$A:$O,7,FALSE()),AA$5&lt;=VLOOKUP($A22,WBS_계획!$A:$O,8,FALSE())),"■","")</f>
        <v/>
      </c>
      <c r="AB22" s="65" t="str">
        <f>IF(AND(AB$5&gt;=VLOOKUP($A22,WBS_계획!$A:$O,7,FALSE()),AB$5&lt;=VLOOKUP($A22,WBS_계획!$A:$O,8,FALSE())),"■","")</f>
        <v/>
      </c>
      <c r="AC22" s="66" t="str">
        <f>IF(AND(AC$5&gt;=VLOOKUP($A22,WBS_계획!$A:$O,7,FALSE()),AC$5&lt;=VLOOKUP($A22,WBS_계획!$A:$O,8,FALSE())),"■","")</f>
        <v/>
      </c>
    </row>
    <row r="23" spans="1:29" ht="27.95" customHeight="1">
      <c r="A23" s="18" t="s">
        <v>271</v>
      </c>
      <c r="B23" s="13" t="s">
        <v>354</v>
      </c>
      <c r="C23" s="57" t="str">
        <f>VLOOKUP($A23,WBS_계획!$A:$O,6,FALSE)</f>
        <v>공동</v>
      </c>
      <c r="D23" s="20" t="str">
        <f>VLOOKUP($A23,WBS_계획!$A:$O,12,FALSE)</f>
        <v>완료</v>
      </c>
      <c r="E23" s="65" t="str">
        <f>IF(AND(E$5&gt;=VLOOKUP($A23,WBS_계획!$A:$O,7,FALSE()),E$5&lt;=VLOOKUP($A23,WBS_계획!$A:$O,8,FALSE())),"■","")</f>
        <v/>
      </c>
      <c r="F23" s="65" t="str">
        <f>IF(AND(F$5&gt;=VLOOKUP($A23,WBS_계획!$A:$O,7,FALSE()),F$5&lt;=VLOOKUP($A23,WBS_계획!$A:$O,8,FALSE())),"■","")</f>
        <v/>
      </c>
      <c r="G23" s="65" t="str">
        <f>IF(AND(G$5&gt;=VLOOKUP($A23,WBS_계획!$A:$O,7,FALSE()),G$5&lt;=VLOOKUP($A23,WBS_계획!$A:$O,8,FALSE())),"■","")</f>
        <v/>
      </c>
      <c r="H23" s="65" t="str">
        <f>IF(AND(H$5&gt;=VLOOKUP($A23,WBS_계획!$A:$O,7,FALSE()),H$5&lt;=VLOOKUP($A23,WBS_계획!$A:$O,8,FALSE())),"■","")</f>
        <v/>
      </c>
      <c r="I23" s="65" t="str">
        <f>IF(AND(I$5&gt;=VLOOKUP($A23,WBS_계획!$A:$O,7,FALSE()),I$5&lt;=VLOOKUP($A23,WBS_계획!$A:$O,8,FALSE())),"■","")</f>
        <v/>
      </c>
      <c r="J23" s="65" t="str">
        <f>IF(AND(J$5&gt;=VLOOKUP($A23,WBS_계획!$A:$O,7,FALSE()),J$5&lt;=VLOOKUP($A23,WBS_계획!$A:$O,8,FALSE())),"■","")</f>
        <v>■</v>
      </c>
      <c r="K23" s="65" t="str">
        <f>IF(AND(K$5&gt;=VLOOKUP($A23,WBS_계획!$A:$O,7,FALSE()),K$5&lt;=VLOOKUP($A23,WBS_계획!$A:$O,8,FALSE())),"■","")</f>
        <v>■</v>
      </c>
      <c r="L23" s="65" t="str">
        <f>IF(AND(L$5&gt;=VLOOKUP($A23,WBS_계획!$A:$O,7,FALSE()),L$5&lt;=VLOOKUP($A23,WBS_계획!$A:$O,8,FALSE())),"■","")</f>
        <v>■</v>
      </c>
      <c r="M23" s="65" t="str">
        <f>IF(AND(M$5&gt;=VLOOKUP($A23,WBS_계획!$A:$O,7,FALSE()),M$5&lt;=VLOOKUP($A23,WBS_계획!$A:$O,8,FALSE())),"■","")</f>
        <v>■</v>
      </c>
      <c r="N23" s="65" t="str">
        <f>IF(AND(N$5&gt;=VLOOKUP($A23,WBS_계획!$A:$O,7,FALSE()),N$5&lt;=VLOOKUP($A23,WBS_계획!$A:$O,8,FALSE())),"■","")</f>
        <v>■</v>
      </c>
      <c r="O23" s="65" t="str">
        <f>IF(AND(O$5&gt;=VLOOKUP($A23,WBS_계획!$A:$O,7,FALSE()),O$5&lt;=VLOOKUP($A23,WBS_계획!$A:$O,8,FALSE())),"■","")</f>
        <v>■</v>
      </c>
      <c r="P23" s="65" t="str">
        <f>IF(AND(P$5&gt;=VLOOKUP($A23,WBS_계획!$A:$O,7,FALSE()),P$5&lt;=VLOOKUP($A23,WBS_계획!$A:$O,8,FALSE())),"■","")</f>
        <v>■</v>
      </c>
      <c r="Q23" s="65" t="str">
        <f>IF(AND(Q$5&gt;=VLOOKUP($A23,WBS_계획!$A:$O,7,FALSE()),Q$5&lt;=VLOOKUP($A23,WBS_계획!$A:$O,8,FALSE())),"■","")</f>
        <v>■</v>
      </c>
      <c r="R23" s="65" t="str">
        <f>IF(AND(R$5&gt;=VLOOKUP($A23,WBS_계획!$A:$O,7,FALSE()),R$5&lt;=VLOOKUP($A23,WBS_계획!$A:$O,8,FALSE())),"■","")</f>
        <v/>
      </c>
      <c r="S23" s="65" t="str">
        <f>IF(AND(S$5&gt;=VLOOKUP($A23,WBS_계획!$A:$O,7,FALSE()),S$5&lt;=VLOOKUP($A23,WBS_계획!$A:$O,8,FALSE())),"■","")</f>
        <v/>
      </c>
      <c r="T23" s="65" t="str">
        <f>IF(AND(T$5&gt;=VLOOKUP($A23,WBS_계획!$A:$O,7,FALSE()),T$5&lt;=VLOOKUP($A23,WBS_계획!$A:$O,8,FALSE())),"■","")</f>
        <v/>
      </c>
      <c r="U23" s="65" t="str">
        <f>IF(AND(U$5&gt;=VLOOKUP($A23,WBS_계획!$A:$O,7,FALSE()),U$5&lt;=VLOOKUP($A23,WBS_계획!$A:$O,8,FALSE())),"■","")</f>
        <v/>
      </c>
      <c r="V23" s="65" t="str">
        <f>IF(AND(V$5&gt;=VLOOKUP($A23,WBS_계획!$A:$O,7,FALSE()),V$5&lt;=VLOOKUP($A23,WBS_계획!$A:$O,8,FALSE())),"■","")</f>
        <v/>
      </c>
      <c r="W23" s="65" t="str">
        <f>IF(AND(W$5&gt;=VLOOKUP($A23,WBS_계획!$A:$O,7,FALSE()),W$5&lt;=VLOOKUP($A23,WBS_계획!$A:$O,8,FALSE())),"■","")</f>
        <v/>
      </c>
      <c r="X23" s="66" t="str">
        <f>IF(AND(X$5&gt;=VLOOKUP($A23,WBS_계획!$A:$O,7,FALSE()),X$5&lt;=VLOOKUP($A23,WBS_계획!$A:$O,8,FALSE())),"■","")</f>
        <v/>
      </c>
      <c r="Y23" s="65" t="str">
        <f>IF(AND(Y$5&gt;=VLOOKUP($A23,WBS_계획!$A:$O,7,FALSE()),Y$5&lt;=VLOOKUP($A23,WBS_계획!$A:$O,8,FALSE())),"■","")</f>
        <v/>
      </c>
      <c r="Z23" s="65" t="str">
        <f>IF(AND(Z$5&gt;=VLOOKUP($A23,WBS_계획!$A:$O,7,FALSE()),Z$5&lt;=VLOOKUP($A23,WBS_계획!$A:$O,8,FALSE())),"■","")</f>
        <v/>
      </c>
      <c r="AA23" s="65" t="str">
        <f>IF(AND(AA$5&gt;=VLOOKUP($A23,WBS_계획!$A:$O,7,FALSE()),AA$5&lt;=VLOOKUP($A23,WBS_계획!$A:$O,8,FALSE())),"■","")</f>
        <v/>
      </c>
      <c r="AB23" s="65" t="str">
        <f>IF(AND(AB$5&gt;=VLOOKUP($A23,WBS_계획!$A:$O,7,FALSE()),AB$5&lt;=VLOOKUP($A23,WBS_계획!$A:$O,8,FALSE())),"■","")</f>
        <v/>
      </c>
      <c r="AC23" s="66" t="str">
        <f>IF(AND(AC$5&gt;=VLOOKUP($A23,WBS_계획!$A:$O,7,FALSE()),AC$5&lt;=VLOOKUP($A23,WBS_계획!$A:$O,8,FALSE())),"■","")</f>
        <v/>
      </c>
    </row>
    <row r="24" spans="1:29" ht="27.95" customHeight="1">
      <c r="A24" s="18" t="s">
        <v>231</v>
      </c>
      <c r="B24" s="13" t="s">
        <v>372</v>
      </c>
      <c r="C24" s="57" t="str">
        <f>VLOOKUP($A24,WBS_계획!$A:$O,6,FALSE)</f>
        <v>강유나</v>
      </c>
      <c r="D24" s="20" t="str">
        <f>VLOOKUP($A24,WBS_계획!$A:$O,12,FALSE)</f>
        <v>완료</v>
      </c>
      <c r="E24" s="65" t="str">
        <f>IF(AND(E$5&gt;=VLOOKUP($A24,WBS_계획!$A:$O,7,FALSE()),E$5&lt;=VLOOKUP($A24,WBS_계획!$A:$O,8,FALSE())),"■","")</f>
        <v/>
      </c>
      <c r="F24" s="65" t="str">
        <f>IF(AND(F$5&gt;=VLOOKUP($A24,WBS_계획!$A:$O,7,FALSE()),F$5&lt;=VLOOKUP($A24,WBS_계획!$A:$O,8,FALSE())),"■","")</f>
        <v/>
      </c>
      <c r="G24" s="65" t="str">
        <f>IF(AND(G$5&gt;=VLOOKUP($A24,WBS_계획!$A:$O,7,FALSE()),G$5&lt;=VLOOKUP($A24,WBS_계획!$A:$O,8,FALSE())),"■","")</f>
        <v/>
      </c>
      <c r="H24" s="65" t="str">
        <f>IF(AND(H$5&gt;=VLOOKUP($A24,WBS_계획!$A:$O,7,FALSE()),H$5&lt;=VLOOKUP($A24,WBS_계획!$A:$O,8,FALSE())),"■","")</f>
        <v/>
      </c>
      <c r="I24" s="65" t="str">
        <f>IF(AND(I$5&gt;=VLOOKUP($A24,WBS_계획!$A:$O,7,FALSE()),I$5&lt;=VLOOKUP($A24,WBS_계획!$A:$O,8,FALSE())),"■","")</f>
        <v/>
      </c>
      <c r="J24" s="65" t="str">
        <f>IF(AND(J$5&gt;=VLOOKUP($A24,WBS_계획!$A:$O,7,FALSE()),J$5&lt;=VLOOKUP($A24,WBS_계획!$A:$O,8,FALSE())),"■","")</f>
        <v/>
      </c>
      <c r="K24" s="65" t="str">
        <f>IF(AND(K$5&gt;=VLOOKUP($A24,WBS_계획!$A:$O,7,FALSE()),K$5&lt;=VLOOKUP($A24,WBS_계획!$A:$O,8,FALSE())),"■","")</f>
        <v/>
      </c>
      <c r="L24" s="65" t="str">
        <f>IF(AND(L$5&gt;=VLOOKUP($A24,WBS_계획!$A:$O,7,FALSE()),L$5&lt;=VLOOKUP($A24,WBS_계획!$A:$O,8,FALSE())),"■","")</f>
        <v>■</v>
      </c>
      <c r="M24" s="65" t="str">
        <f>IF(AND(M$5&gt;=VLOOKUP($A24,WBS_계획!$A:$O,7,FALSE()),M$5&lt;=VLOOKUP($A24,WBS_계획!$A:$O,8,FALSE())),"■","")</f>
        <v/>
      </c>
      <c r="N24" s="65" t="str">
        <f>IF(AND(N$5&gt;=VLOOKUP($A24,WBS_계획!$A:$O,7,FALSE()),N$5&lt;=VLOOKUP($A24,WBS_계획!$A:$O,8,FALSE())),"■","")</f>
        <v/>
      </c>
      <c r="O24" s="65" t="str">
        <f>IF(AND(O$5&gt;=VLOOKUP($A24,WBS_계획!$A:$O,7,FALSE()),O$5&lt;=VLOOKUP($A24,WBS_계획!$A:$O,8,FALSE())),"■","")</f>
        <v/>
      </c>
      <c r="P24" s="65" t="str">
        <f>IF(AND(P$5&gt;=VLOOKUP($A24,WBS_계획!$A:$O,7,FALSE()),P$5&lt;=VLOOKUP($A24,WBS_계획!$A:$O,8,FALSE())),"■","")</f>
        <v/>
      </c>
      <c r="Q24" s="65" t="str">
        <f>IF(AND(Q$5&gt;=VLOOKUP($A24,WBS_계획!$A:$O,7,FALSE()),Q$5&lt;=VLOOKUP($A24,WBS_계획!$A:$O,8,FALSE())),"■","")</f>
        <v/>
      </c>
      <c r="R24" s="65" t="str">
        <f>IF(AND(R$5&gt;=VLOOKUP($A24,WBS_계획!$A:$O,7,FALSE()),R$5&lt;=VLOOKUP($A24,WBS_계획!$A:$O,8,FALSE())),"■","")</f>
        <v/>
      </c>
      <c r="S24" s="65" t="str">
        <f>IF(AND(S$5&gt;=VLOOKUP($A24,WBS_계획!$A:$O,7,FALSE()),S$5&lt;=VLOOKUP($A24,WBS_계획!$A:$O,8,FALSE())),"■","")</f>
        <v/>
      </c>
      <c r="T24" s="65" t="str">
        <f>IF(AND(T$5&gt;=VLOOKUP($A24,WBS_계획!$A:$O,7,FALSE()),T$5&lt;=VLOOKUP($A24,WBS_계획!$A:$O,8,FALSE())),"■","")</f>
        <v/>
      </c>
      <c r="U24" s="65" t="str">
        <f>IF(AND(U$5&gt;=VLOOKUP($A24,WBS_계획!$A:$O,7,FALSE()),U$5&lt;=VLOOKUP($A24,WBS_계획!$A:$O,8,FALSE())),"■","")</f>
        <v/>
      </c>
      <c r="V24" s="65" t="str">
        <f>IF(AND(V$5&gt;=VLOOKUP($A24,WBS_계획!$A:$O,7,FALSE()),V$5&lt;=VLOOKUP($A24,WBS_계획!$A:$O,8,FALSE())),"■","")</f>
        <v/>
      </c>
      <c r="W24" s="65" t="str">
        <f>IF(AND(W$5&gt;=VLOOKUP($A24,WBS_계획!$A:$O,7,FALSE()),W$5&lt;=VLOOKUP($A24,WBS_계획!$A:$O,8,FALSE())),"■","")</f>
        <v/>
      </c>
      <c r="X24" s="66" t="str">
        <f>IF(AND(X$5&gt;=VLOOKUP($A24,WBS_계획!$A:$O,7,FALSE()),X$5&lt;=VLOOKUP($A24,WBS_계획!$A:$O,8,FALSE())),"■","")</f>
        <v/>
      </c>
      <c r="Y24" s="65" t="str">
        <f>IF(AND(Y$5&gt;=VLOOKUP($A24,WBS_계획!$A:$O,7,FALSE()),Y$5&lt;=VLOOKUP($A24,WBS_계획!$A:$O,8,FALSE())),"■","")</f>
        <v/>
      </c>
      <c r="Z24" s="65" t="str">
        <f>IF(AND(Z$5&gt;=VLOOKUP($A24,WBS_계획!$A:$O,7,FALSE()),Z$5&lt;=VLOOKUP($A24,WBS_계획!$A:$O,8,FALSE())),"■","")</f>
        <v/>
      </c>
      <c r="AA24" s="65" t="str">
        <f>IF(AND(AA$5&gt;=VLOOKUP($A24,WBS_계획!$A:$O,7,FALSE()),AA$5&lt;=VLOOKUP($A24,WBS_계획!$A:$O,8,FALSE())),"■","")</f>
        <v/>
      </c>
      <c r="AB24" s="65" t="str">
        <f>IF(AND(AB$5&gt;=VLOOKUP($A24,WBS_계획!$A:$O,7,FALSE()),AB$5&lt;=VLOOKUP($A24,WBS_계획!$A:$O,8,FALSE())),"■","")</f>
        <v/>
      </c>
      <c r="AC24" s="66" t="str">
        <f>IF(AND(AC$5&gt;=VLOOKUP($A24,WBS_계획!$A:$O,7,FALSE()),AC$5&lt;=VLOOKUP($A24,WBS_계획!$A:$O,8,FALSE())),"■","")</f>
        <v/>
      </c>
    </row>
    <row r="25" spans="1:29" ht="27.95" customHeight="1">
      <c r="A25" s="18" t="s">
        <v>269</v>
      </c>
      <c r="B25" s="13" t="s">
        <v>348</v>
      </c>
      <c r="C25" s="57" t="str">
        <f>VLOOKUP($A25,WBS_계획!$A:$O,6,FALSE)</f>
        <v>강유나</v>
      </c>
      <c r="D25" s="20" t="str">
        <f>VLOOKUP($A25,WBS_계획!$A:$O,12,FALSE)</f>
        <v>완료</v>
      </c>
      <c r="E25" s="65" t="str">
        <f>IF(AND(E$5&gt;=VLOOKUP($A25,WBS_계획!$A:$O,7,FALSE()),E$5&lt;=VLOOKUP($A25,WBS_계획!$A:$O,8,FALSE())),"■","")</f>
        <v/>
      </c>
      <c r="F25" s="65" t="str">
        <f>IF(AND(F$5&gt;=VLOOKUP($A25,WBS_계획!$A:$O,7,FALSE()),F$5&lt;=VLOOKUP($A25,WBS_계획!$A:$O,8,FALSE())),"■","")</f>
        <v/>
      </c>
      <c r="G25" s="65" t="str">
        <f>IF(AND(G$5&gt;=VLOOKUP($A25,WBS_계획!$A:$O,7,FALSE()),G$5&lt;=VLOOKUP($A25,WBS_계획!$A:$O,8,FALSE())),"■","")</f>
        <v/>
      </c>
      <c r="H25" s="65" t="str">
        <f>IF(AND(H$5&gt;=VLOOKUP($A25,WBS_계획!$A:$O,7,FALSE()),H$5&lt;=VLOOKUP($A25,WBS_계획!$A:$O,8,FALSE())),"■","")</f>
        <v/>
      </c>
      <c r="I25" s="65" t="str">
        <f>IF(AND(I$5&gt;=VLOOKUP($A25,WBS_계획!$A:$O,7,FALSE()),I$5&lt;=VLOOKUP($A25,WBS_계획!$A:$O,8,FALSE())),"■","")</f>
        <v/>
      </c>
      <c r="J25" s="65" t="str">
        <f>IF(AND(J$5&gt;=VLOOKUP($A25,WBS_계획!$A:$O,7,FALSE()),J$5&lt;=VLOOKUP($A25,WBS_계획!$A:$O,8,FALSE())),"■","")</f>
        <v/>
      </c>
      <c r="K25" s="65" t="str">
        <f>IF(AND(K$5&gt;=VLOOKUP($A25,WBS_계획!$A:$O,7,FALSE()),K$5&lt;=VLOOKUP($A25,WBS_계획!$A:$O,8,FALSE())),"■","")</f>
        <v/>
      </c>
      <c r="L25" s="65" t="str">
        <f>IF(AND(L$5&gt;=VLOOKUP($A25,WBS_계획!$A:$O,7,FALSE()),L$5&lt;=VLOOKUP($A25,WBS_계획!$A:$O,8,FALSE())),"■","")</f>
        <v>■</v>
      </c>
      <c r="M25" s="65" t="str">
        <f>IF(AND(M$5&gt;=VLOOKUP($A25,WBS_계획!$A:$O,7,FALSE()),M$5&lt;=VLOOKUP($A25,WBS_계획!$A:$O,8,FALSE())),"■","")</f>
        <v>■</v>
      </c>
      <c r="N25" s="65" t="str">
        <f>IF(AND(N$5&gt;=VLOOKUP($A25,WBS_계획!$A:$O,7,FALSE()),N$5&lt;=VLOOKUP($A25,WBS_계획!$A:$O,8,FALSE())),"■","")</f>
        <v/>
      </c>
      <c r="O25" s="65" t="str">
        <f>IF(AND(O$5&gt;=VLOOKUP($A25,WBS_계획!$A:$O,7,FALSE()),O$5&lt;=VLOOKUP($A25,WBS_계획!$A:$O,8,FALSE())),"■","")</f>
        <v/>
      </c>
      <c r="P25" s="65" t="str">
        <f>IF(AND(P$5&gt;=VLOOKUP($A25,WBS_계획!$A:$O,7,FALSE()),P$5&lt;=VLOOKUP($A25,WBS_계획!$A:$O,8,FALSE())),"■","")</f>
        <v/>
      </c>
      <c r="Q25" s="65" t="str">
        <f>IF(AND(Q$5&gt;=VLOOKUP($A25,WBS_계획!$A:$O,7,FALSE()),Q$5&lt;=VLOOKUP($A25,WBS_계획!$A:$O,8,FALSE())),"■","")</f>
        <v/>
      </c>
      <c r="R25" s="65" t="str">
        <f>IF(AND(R$5&gt;=VLOOKUP($A25,WBS_계획!$A:$O,7,FALSE()),R$5&lt;=VLOOKUP($A25,WBS_계획!$A:$O,8,FALSE())),"■","")</f>
        <v/>
      </c>
      <c r="S25" s="65" t="str">
        <f>IF(AND(S$5&gt;=VLOOKUP($A25,WBS_계획!$A:$O,7,FALSE()),S$5&lt;=VLOOKUP($A25,WBS_계획!$A:$O,8,FALSE())),"■","")</f>
        <v/>
      </c>
      <c r="T25" s="65" t="str">
        <f>IF(AND(T$5&gt;=VLOOKUP($A25,WBS_계획!$A:$O,7,FALSE()),T$5&lt;=VLOOKUP($A25,WBS_계획!$A:$O,8,FALSE())),"■","")</f>
        <v/>
      </c>
      <c r="U25" s="65" t="str">
        <f>IF(AND(U$5&gt;=VLOOKUP($A25,WBS_계획!$A:$O,7,FALSE()),U$5&lt;=VLOOKUP($A25,WBS_계획!$A:$O,8,FALSE())),"■","")</f>
        <v/>
      </c>
      <c r="V25" s="65" t="str">
        <f>IF(AND(V$5&gt;=VLOOKUP($A25,WBS_계획!$A:$O,7,FALSE()),V$5&lt;=VLOOKUP($A25,WBS_계획!$A:$O,8,FALSE())),"■","")</f>
        <v/>
      </c>
      <c r="W25" s="65" t="str">
        <f>IF(AND(W$5&gt;=VLOOKUP($A25,WBS_계획!$A:$O,7,FALSE()),W$5&lt;=VLOOKUP($A25,WBS_계획!$A:$O,8,FALSE())),"■","")</f>
        <v/>
      </c>
      <c r="X25" s="66" t="str">
        <f>IF(AND(X$5&gt;=VLOOKUP($A25,WBS_계획!$A:$O,7,FALSE()),X$5&lt;=VLOOKUP($A25,WBS_계획!$A:$O,8,FALSE())),"■","")</f>
        <v/>
      </c>
      <c r="Y25" s="65" t="str">
        <f>IF(AND(Y$5&gt;=VLOOKUP($A25,WBS_계획!$A:$O,7,FALSE()),Y$5&lt;=VLOOKUP($A25,WBS_계획!$A:$O,8,FALSE())),"■","")</f>
        <v/>
      </c>
      <c r="Z25" s="65" t="str">
        <f>IF(AND(Z$5&gt;=VLOOKUP($A25,WBS_계획!$A:$O,7,FALSE()),Z$5&lt;=VLOOKUP($A25,WBS_계획!$A:$O,8,FALSE())),"■","")</f>
        <v/>
      </c>
      <c r="AA25" s="65" t="str">
        <f>IF(AND(AA$5&gt;=VLOOKUP($A25,WBS_계획!$A:$O,7,FALSE()),AA$5&lt;=VLOOKUP($A25,WBS_계획!$A:$O,8,FALSE())),"■","")</f>
        <v/>
      </c>
      <c r="AB25" s="65" t="str">
        <f>IF(AND(AB$5&gt;=VLOOKUP($A25,WBS_계획!$A:$O,7,FALSE()),AB$5&lt;=VLOOKUP($A25,WBS_계획!$A:$O,8,FALSE())),"■","")</f>
        <v/>
      </c>
      <c r="AC25" s="66" t="str">
        <f>IF(AND(AC$5&gt;=VLOOKUP($A25,WBS_계획!$A:$O,7,FALSE()),AC$5&lt;=VLOOKUP($A25,WBS_계획!$A:$O,8,FALSE())),"■","")</f>
        <v/>
      </c>
    </row>
    <row r="26" spans="1:29" ht="27.75" customHeight="1">
      <c r="A26" s="18" t="s">
        <v>248</v>
      </c>
      <c r="B26" s="13" t="s">
        <v>314</v>
      </c>
      <c r="C26" s="57" t="str">
        <f>VLOOKUP($A26,WBS_계획!$A:$O,6,FALSE)</f>
        <v>강유나</v>
      </c>
      <c r="D26" s="20" t="str">
        <f>VLOOKUP($A26,WBS_계획!$A:$O,12,FALSE)</f>
        <v>완료</v>
      </c>
      <c r="E26" s="65" t="str">
        <f>IF(AND(E$5&gt;=VLOOKUP($A26,WBS_계획!$A:$O,7,FALSE()),E$5&lt;=VLOOKUP($A26,WBS_계획!$A:$O,8,FALSE())),"■","")</f>
        <v/>
      </c>
      <c r="F26" s="65" t="str">
        <f>IF(AND(F$5&gt;=VLOOKUP($A26,WBS_계획!$A:$O,7,FALSE()),F$5&lt;=VLOOKUP($A26,WBS_계획!$A:$O,8,FALSE())),"■","")</f>
        <v/>
      </c>
      <c r="G26" s="65" t="str">
        <f>IF(AND(G$5&gt;=VLOOKUP($A26,WBS_계획!$A:$O,7,FALSE()),G$5&lt;=VLOOKUP($A26,WBS_계획!$A:$O,8,FALSE())),"■","")</f>
        <v/>
      </c>
      <c r="H26" s="65" t="str">
        <f>IF(AND(H$5&gt;=VLOOKUP($A26,WBS_계획!$A:$O,7,FALSE()),H$5&lt;=VLOOKUP($A26,WBS_계획!$A:$O,8,FALSE())),"■","")</f>
        <v/>
      </c>
      <c r="I26" s="65" t="str">
        <f>IF(AND(I$5&gt;=VLOOKUP($A26,WBS_계획!$A:$O,7,FALSE()),I$5&lt;=VLOOKUP($A26,WBS_계획!$A:$O,8,FALSE())),"■","")</f>
        <v/>
      </c>
      <c r="J26" s="65" t="str">
        <f>IF(AND(J$5&gt;=VLOOKUP($A26,WBS_계획!$A:$O,7,FALSE()),J$5&lt;=VLOOKUP($A26,WBS_계획!$A:$O,8,FALSE())),"■","")</f>
        <v/>
      </c>
      <c r="K26" s="65" t="str">
        <f>IF(AND(K$5&gt;=VLOOKUP($A26,WBS_계획!$A:$O,7,FALSE()),K$5&lt;=VLOOKUP($A26,WBS_계획!$A:$O,8,FALSE())),"■","")</f>
        <v/>
      </c>
      <c r="L26" s="65" t="str">
        <f>IF(AND(L$5&gt;=VLOOKUP($A26,WBS_계획!$A:$O,7,FALSE()),L$5&lt;=VLOOKUP($A26,WBS_계획!$A:$O,8,FALSE())),"■","")</f>
        <v/>
      </c>
      <c r="M26" s="65" t="str">
        <f>IF(AND(M$5&gt;=VLOOKUP($A26,WBS_계획!$A:$O,7,FALSE()),M$5&lt;=VLOOKUP($A26,WBS_계획!$A:$O,8,FALSE())),"■","")</f>
        <v/>
      </c>
      <c r="N26" s="65" t="str">
        <f>IF(AND(N$5&gt;=VLOOKUP($A26,WBS_계획!$A:$O,7,FALSE()),N$5&lt;=VLOOKUP($A26,WBS_계획!$A:$O,8,FALSE())),"■","")</f>
        <v/>
      </c>
      <c r="O26" s="65" t="str">
        <f>IF(AND(O$5&gt;=VLOOKUP($A26,WBS_계획!$A:$O,7,FALSE()),O$5&lt;=VLOOKUP($A26,WBS_계획!$A:$O,8,FALSE())),"■","")</f>
        <v>■</v>
      </c>
      <c r="P26" s="65" t="str">
        <f>IF(AND(P$5&gt;=VLOOKUP($A26,WBS_계획!$A:$O,7,FALSE()),P$5&lt;=VLOOKUP($A26,WBS_계획!$A:$O,8,FALSE())),"■","")</f>
        <v>■</v>
      </c>
      <c r="Q26" s="65" t="str">
        <f>IF(AND(Q$5&gt;=VLOOKUP($A26,WBS_계획!$A:$O,7,FALSE()),Q$5&lt;=VLOOKUP($A26,WBS_계획!$A:$O,8,FALSE())),"■","")</f>
        <v/>
      </c>
      <c r="R26" s="65" t="str">
        <f>IF(AND(R$5&gt;=VLOOKUP($A26,WBS_계획!$A:$O,7,FALSE()),R$5&lt;=VLOOKUP($A26,WBS_계획!$A:$O,8,FALSE())),"■","")</f>
        <v/>
      </c>
      <c r="S26" s="65" t="str">
        <f>IF(AND(S$5&gt;=VLOOKUP($A26,WBS_계획!$A:$O,7,FALSE()),S$5&lt;=VLOOKUP($A26,WBS_계획!$A:$O,8,FALSE())),"■","")</f>
        <v/>
      </c>
      <c r="T26" s="65" t="str">
        <f>IF(AND(T$5&gt;=VLOOKUP($A26,WBS_계획!$A:$O,7,FALSE()),T$5&lt;=VLOOKUP($A26,WBS_계획!$A:$O,8,FALSE())),"■","")</f>
        <v/>
      </c>
      <c r="U26" s="65" t="str">
        <f>IF(AND(U$5&gt;=VLOOKUP($A26,WBS_계획!$A:$O,7,FALSE()),U$5&lt;=VLOOKUP($A26,WBS_계획!$A:$O,8,FALSE())),"■","")</f>
        <v/>
      </c>
      <c r="V26" s="65" t="str">
        <f>IF(AND(V$5&gt;=VLOOKUP($A26,WBS_계획!$A:$O,7,FALSE()),V$5&lt;=VLOOKUP($A26,WBS_계획!$A:$O,8,FALSE())),"■","")</f>
        <v/>
      </c>
      <c r="W26" s="65" t="str">
        <f>IF(AND(W$5&gt;=VLOOKUP($A26,WBS_계획!$A:$O,7,FALSE()),W$5&lt;=VLOOKUP($A26,WBS_계획!$A:$O,8,FALSE())),"■","")</f>
        <v/>
      </c>
      <c r="X26" s="66" t="str">
        <f>IF(AND(X$5&gt;=VLOOKUP($A26,WBS_계획!$A:$O,7,FALSE()),X$5&lt;=VLOOKUP($A26,WBS_계획!$A:$O,8,FALSE())),"■","")</f>
        <v/>
      </c>
      <c r="Y26" s="65" t="str">
        <f>IF(AND(Y$5&gt;=VLOOKUP($A26,WBS_계획!$A:$O,7,FALSE()),Y$5&lt;=VLOOKUP($A26,WBS_계획!$A:$O,8,FALSE())),"■","")</f>
        <v/>
      </c>
      <c r="Z26" s="65" t="str">
        <f>IF(AND(Z$5&gt;=VLOOKUP($A26,WBS_계획!$A:$O,7,FALSE()),Z$5&lt;=VLOOKUP($A26,WBS_계획!$A:$O,8,FALSE())),"■","")</f>
        <v/>
      </c>
      <c r="AA26" s="65" t="str">
        <f>IF(AND(AA$5&gt;=VLOOKUP($A26,WBS_계획!$A:$O,7,FALSE()),AA$5&lt;=VLOOKUP($A26,WBS_계획!$A:$O,8,FALSE())),"■","")</f>
        <v/>
      </c>
      <c r="AB26" s="65" t="str">
        <f>IF(AND(AB$5&gt;=VLOOKUP($A26,WBS_계획!$A:$O,7,FALSE()),AB$5&lt;=VLOOKUP($A26,WBS_계획!$A:$O,8,FALSE())),"■","")</f>
        <v/>
      </c>
      <c r="AC26" s="66" t="str">
        <f>IF(AND(AC$5&gt;=VLOOKUP($A26,WBS_계획!$A:$O,7,FALSE()),AC$5&lt;=VLOOKUP($A26,WBS_계획!$A:$O,8,FALSE())),"■","")</f>
        <v/>
      </c>
    </row>
    <row r="27" spans="1:29" ht="27.95" customHeight="1">
      <c r="A27" s="18" t="s">
        <v>264</v>
      </c>
      <c r="B27" s="13" t="s">
        <v>344</v>
      </c>
      <c r="C27" s="57" t="str">
        <f>VLOOKUP($A27,WBS_계획!$A:$O,6,FALSE)</f>
        <v>강유나</v>
      </c>
      <c r="D27" s="20" t="str">
        <f>VLOOKUP($A27,WBS_계획!$A:$O,12,FALSE)</f>
        <v>완료</v>
      </c>
      <c r="E27" s="65" t="str">
        <f>IF(AND(E$5&gt;=VLOOKUP($A27,WBS_계획!$A:$O,7,FALSE()),E$5&lt;=VLOOKUP($A27,WBS_계획!$A:$O,8,FALSE())),"■","")</f>
        <v/>
      </c>
      <c r="F27" s="65" t="str">
        <f>IF(AND(F$5&gt;=VLOOKUP($A27,WBS_계획!$A:$O,7,FALSE()),F$5&lt;=VLOOKUP($A27,WBS_계획!$A:$O,8,FALSE())),"■","")</f>
        <v/>
      </c>
      <c r="G27" s="65" t="str">
        <f>IF(AND(G$5&gt;=VLOOKUP($A27,WBS_계획!$A:$O,7,FALSE()),G$5&lt;=VLOOKUP($A27,WBS_계획!$A:$O,8,FALSE())),"■","")</f>
        <v/>
      </c>
      <c r="H27" s="65" t="str">
        <f>IF(AND(H$5&gt;=VLOOKUP($A27,WBS_계획!$A:$O,7,FALSE()),H$5&lt;=VLOOKUP($A27,WBS_계획!$A:$O,8,FALSE())),"■","")</f>
        <v/>
      </c>
      <c r="I27" s="65" t="str">
        <f>IF(AND(I$5&gt;=VLOOKUP($A27,WBS_계획!$A:$O,7,FALSE()),I$5&lt;=VLOOKUP($A27,WBS_계획!$A:$O,8,FALSE())),"■","")</f>
        <v/>
      </c>
      <c r="J27" s="65" t="str">
        <f>IF(AND(J$5&gt;=VLOOKUP($A27,WBS_계획!$A:$O,7,FALSE()),J$5&lt;=VLOOKUP($A27,WBS_계획!$A:$O,8,FALSE())),"■","")</f>
        <v/>
      </c>
      <c r="K27" s="65" t="str">
        <f>IF(AND(K$5&gt;=VLOOKUP($A27,WBS_계획!$A:$O,7,FALSE()),K$5&lt;=VLOOKUP($A27,WBS_계획!$A:$O,8,FALSE())),"■","")</f>
        <v/>
      </c>
      <c r="L27" s="65" t="str">
        <f>IF(AND(L$5&gt;=VLOOKUP($A27,WBS_계획!$A:$O,7,FALSE()),L$5&lt;=VLOOKUP($A27,WBS_계획!$A:$O,8,FALSE())),"■","")</f>
        <v/>
      </c>
      <c r="M27" s="65" t="str">
        <f>IF(AND(M$5&gt;=VLOOKUP($A27,WBS_계획!$A:$O,7,FALSE()),M$5&lt;=VLOOKUP($A27,WBS_계획!$A:$O,8,FALSE())),"■","")</f>
        <v/>
      </c>
      <c r="N27" s="65" t="str">
        <f>IF(AND(N$5&gt;=VLOOKUP($A27,WBS_계획!$A:$O,7,FALSE()),N$5&lt;=VLOOKUP($A27,WBS_계획!$A:$O,8,FALSE())),"■","")</f>
        <v/>
      </c>
      <c r="O27" s="65" t="str">
        <f>IF(AND(O$5&gt;=VLOOKUP($A27,WBS_계획!$A:$O,7,FALSE()),O$5&lt;=VLOOKUP($A27,WBS_계획!$A:$O,8,FALSE())),"■","")</f>
        <v>■</v>
      </c>
      <c r="P27" s="65" t="str">
        <f>IF(AND(P$5&gt;=VLOOKUP($A27,WBS_계획!$A:$O,7,FALSE()),P$5&lt;=VLOOKUP($A27,WBS_계획!$A:$O,8,FALSE())),"■","")</f>
        <v>■</v>
      </c>
      <c r="Q27" s="65" t="str">
        <f>IF(AND(Q$5&gt;=VLOOKUP($A27,WBS_계획!$A:$O,7,FALSE()),Q$5&lt;=VLOOKUP($A27,WBS_계획!$A:$O,8,FALSE())),"■","")</f>
        <v/>
      </c>
      <c r="R27" s="65" t="str">
        <f>IF(AND(R$5&gt;=VLOOKUP($A27,WBS_계획!$A:$O,7,FALSE()),R$5&lt;=VLOOKUP($A27,WBS_계획!$A:$O,8,FALSE())),"■","")</f>
        <v/>
      </c>
      <c r="S27" s="65" t="str">
        <f>IF(AND(S$5&gt;=VLOOKUP($A27,WBS_계획!$A:$O,7,FALSE()),S$5&lt;=VLOOKUP($A27,WBS_계획!$A:$O,8,FALSE())),"■","")</f>
        <v/>
      </c>
      <c r="T27" s="65" t="str">
        <f>IF(AND(T$5&gt;=VLOOKUP($A27,WBS_계획!$A:$O,7,FALSE()),T$5&lt;=VLOOKUP($A27,WBS_계획!$A:$O,8,FALSE())),"■","")</f>
        <v/>
      </c>
      <c r="U27" s="65" t="str">
        <f>IF(AND(U$5&gt;=VLOOKUP($A27,WBS_계획!$A:$O,7,FALSE()),U$5&lt;=VLOOKUP($A27,WBS_계획!$A:$O,8,FALSE())),"■","")</f>
        <v/>
      </c>
      <c r="V27" s="65" t="str">
        <f>IF(AND(V$5&gt;=VLOOKUP($A27,WBS_계획!$A:$O,7,FALSE()),V$5&lt;=VLOOKUP($A27,WBS_계획!$A:$O,8,FALSE())),"■","")</f>
        <v/>
      </c>
      <c r="W27" s="65" t="str">
        <f>IF(AND(W$5&gt;=VLOOKUP($A27,WBS_계획!$A:$O,7,FALSE()),W$5&lt;=VLOOKUP($A27,WBS_계획!$A:$O,8,FALSE())),"■","")</f>
        <v/>
      </c>
      <c r="X27" s="66" t="str">
        <f>IF(AND(X$5&gt;=VLOOKUP($A27,WBS_계획!$A:$O,7,FALSE()),X$5&lt;=VLOOKUP($A27,WBS_계획!$A:$O,8,FALSE())),"■","")</f>
        <v/>
      </c>
      <c r="Y27" s="65" t="str">
        <f>IF(AND(Y$5&gt;=VLOOKUP($A27,WBS_계획!$A:$O,7,FALSE()),Y$5&lt;=VLOOKUP($A27,WBS_계획!$A:$O,8,FALSE())),"■","")</f>
        <v/>
      </c>
      <c r="Z27" s="65" t="str">
        <f>IF(AND(Z$5&gt;=VLOOKUP($A27,WBS_계획!$A:$O,7,FALSE()),Z$5&lt;=VLOOKUP($A27,WBS_계획!$A:$O,8,FALSE())),"■","")</f>
        <v/>
      </c>
      <c r="AA27" s="65" t="str">
        <f>IF(AND(AA$5&gt;=VLOOKUP($A27,WBS_계획!$A:$O,7,FALSE()),AA$5&lt;=VLOOKUP($A27,WBS_계획!$A:$O,8,FALSE())),"■","")</f>
        <v/>
      </c>
      <c r="AB27" s="65" t="str">
        <f>IF(AND(AB$5&gt;=VLOOKUP($A27,WBS_계획!$A:$O,7,FALSE()),AB$5&lt;=VLOOKUP($A27,WBS_계획!$A:$O,8,FALSE())),"■","")</f>
        <v/>
      </c>
      <c r="AC27" s="66" t="str">
        <f>IF(AND(AC$5&gt;=VLOOKUP($A27,WBS_계획!$A:$O,7,FALSE()),AC$5&lt;=VLOOKUP($A27,WBS_계획!$A:$O,8,FALSE())),"■","")</f>
        <v/>
      </c>
    </row>
    <row r="28" spans="1:29" ht="27.95" customHeight="1">
      <c r="A28" s="18" t="s">
        <v>265</v>
      </c>
      <c r="B28" s="13" t="s">
        <v>345</v>
      </c>
      <c r="C28" s="57" t="str">
        <f>VLOOKUP($A28,WBS_계획!$A:$O,6,FALSE)</f>
        <v>강유나</v>
      </c>
      <c r="D28" s="20" t="str">
        <f>VLOOKUP($A28,WBS_계획!$A:$O,12,FALSE)</f>
        <v>완료</v>
      </c>
      <c r="E28" s="65" t="str">
        <f>IF(AND(E$5&gt;=VLOOKUP($A28,WBS_계획!$A:$O,7,FALSE()),E$5&lt;=VLOOKUP($A28,WBS_계획!$A:$O,8,FALSE())),"■","")</f>
        <v/>
      </c>
      <c r="F28" s="65" t="str">
        <f>IF(AND(F$5&gt;=VLOOKUP($A28,WBS_계획!$A:$O,7,FALSE()),F$5&lt;=VLOOKUP($A28,WBS_계획!$A:$O,8,FALSE())),"■","")</f>
        <v/>
      </c>
      <c r="G28" s="65" t="str">
        <f>IF(AND(G$5&gt;=VLOOKUP($A28,WBS_계획!$A:$O,7,FALSE()),G$5&lt;=VLOOKUP($A28,WBS_계획!$A:$O,8,FALSE())),"■","")</f>
        <v/>
      </c>
      <c r="H28" s="65" t="str">
        <f>IF(AND(H$5&gt;=VLOOKUP($A28,WBS_계획!$A:$O,7,FALSE()),H$5&lt;=VLOOKUP($A28,WBS_계획!$A:$O,8,FALSE())),"■","")</f>
        <v/>
      </c>
      <c r="I28" s="65" t="str">
        <f>IF(AND(I$5&gt;=VLOOKUP($A28,WBS_계획!$A:$O,7,FALSE()),I$5&lt;=VLOOKUP($A28,WBS_계획!$A:$O,8,FALSE())),"■","")</f>
        <v/>
      </c>
      <c r="J28" s="65" t="str">
        <f>IF(AND(J$5&gt;=VLOOKUP($A28,WBS_계획!$A:$O,7,FALSE()),J$5&lt;=VLOOKUP($A28,WBS_계획!$A:$O,8,FALSE())),"■","")</f>
        <v/>
      </c>
      <c r="K28" s="65" t="str">
        <f>IF(AND(K$5&gt;=VLOOKUP($A28,WBS_계획!$A:$O,7,FALSE()),K$5&lt;=VLOOKUP($A28,WBS_계획!$A:$O,8,FALSE())),"■","")</f>
        <v/>
      </c>
      <c r="L28" s="65" t="str">
        <f>IF(AND(L$5&gt;=VLOOKUP($A28,WBS_계획!$A:$O,7,FALSE()),L$5&lt;=VLOOKUP($A28,WBS_계획!$A:$O,8,FALSE())),"■","")</f>
        <v/>
      </c>
      <c r="M28" s="65" t="str">
        <f>IF(AND(M$5&gt;=VLOOKUP($A28,WBS_계획!$A:$O,7,FALSE()),M$5&lt;=VLOOKUP($A28,WBS_계획!$A:$O,8,FALSE())),"■","")</f>
        <v/>
      </c>
      <c r="N28" s="65" t="str">
        <f>IF(AND(N$5&gt;=VLOOKUP($A28,WBS_계획!$A:$O,7,FALSE()),N$5&lt;=VLOOKUP($A28,WBS_계획!$A:$O,8,FALSE())),"■","")</f>
        <v/>
      </c>
      <c r="O28" s="65" t="str">
        <f>IF(AND(O$5&gt;=VLOOKUP($A28,WBS_계획!$A:$O,7,FALSE()),O$5&lt;=VLOOKUP($A28,WBS_계획!$A:$O,8,FALSE())),"■","")</f>
        <v>■</v>
      </c>
      <c r="P28" s="65" t="str">
        <f>IF(AND(P$5&gt;=VLOOKUP($A28,WBS_계획!$A:$O,7,FALSE()),P$5&lt;=VLOOKUP($A28,WBS_계획!$A:$O,8,FALSE())),"■","")</f>
        <v>■</v>
      </c>
      <c r="Q28" s="65" t="str">
        <f>IF(AND(Q$5&gt;=VLOOKUP($A28,WBS_계획!$A:$O,7,FALSE()),Q$5&lt;=VLOOKUP($A28,WBS_계획!$A:$O,8,FALSE())),"■","")</f>
        <v/>
      </c>
      <c r="R28" s="65" t="str">
        <f>IF(AND(R$5&gt;=VLOOKUP($A28,WBS_계획!$A:$O,7,FALSE()),R$5&lt;=VLOOKUP($A28,WBS_계획!$A:$O,8,FALSE())),"■","")</f>
        <v/>
      </c>
      <c r="S28" s="65" t="str">
        <f>IF(AND(S$5&gt;=VLOOKUP($A28,WBS_계획!$A:$O,7,FALSE()),S$5&lt;=VLOOKUP($A28,WBS_계획!$A:$O,8,FALSE())),"■","")</f>
        <v/>
      </c>
      <c r="T28" s="65" t="str">
        <f>IF(AND(T$5&gt;=VLOOKUP($A28,WBS_계획!$A:$O,7,FALSE()),T$5&lt;=VLOOKUP($A28,WBS_계획!$A:$O,8,FALSE())),"■","")</f>
        <v/>
      </c>
      <c r="U28" s="65" t="str">
        <f>IF(AND(U$5&gt;=VLOOKUP($A28,WBS_계획!$A:$O,7,FALSE()),U$5&lt;=VLOOKUP($A28,WBS_계획!$A:$O,8,FALSE())),"■","")</f>
        <v/>
      </c>
      <c r="V28" s="65" t="str">
        <f>IF(AND(V$5&gt;=VLOOKUP($A28,WBS_계획!$A:$O,7,FALSE()),V$5&lt;=VLOOKUP($A28,WBS_계획!$A:$O,8,FALSE())),"■","")</f>
        <v/>
      </c>
      <c r="W28" s="65" t="str">
        <f>IF(AND(W$5&gt;=VLOOKUP($A28,WBS_계획!$A:$O,7,FALSE()),W$5&lt;=VLOOKUP($A28,WBS_계획!$A:$O,8,FALSE())),"■","")</f>
        <v/>
      </c>
      <c r="X28" s="66" t="str">
        <f>IF(AND(X$5&gt;=VLOOKUP($A28,WBS_계획!$A:$O,7,FALSE()),X$5&lt;=VLOOKUP($A28,WBS_계획!$A:$O,8,FALSE())),"■","")</f>
        <v/>
      </c>
      <c r="Y28" s="65" t="str">
        <f>IF(AND(Y$5&gt;=VLOOKUP($A28,WBS_계획!$A:$O,7,FALSE()),Y$5&lt;=VLOOKUP($A28,WBS_계획!$A:$O,8,FALSE())),"■","")</f>
        <v/>
      </c>
      <c r="Z28" s="65" t="str">
        <f>IF(AND(Z$5&gt;=VLOOKUP($A28,WBS_계획!$A:$O,7,FALSE()),Z$5&lt;=VLOOKUP($A28,WBS_계획!$A:$O,8,FALSE())),"■","")</f>
        <v/>
      </c>
      <c r="AA28" s="65" t="str">
        <f>IF(AND(AA$5&gt;=VLOOKUP($A28,WBS_계획!$A:$O,7,FALSE()),AA$5&lt;=VLOOKUP($A28,WBS_계획!$A:$O,8,FALSE())),"■","")</f>
        <v/>
      </c>
      <c r="AB28" s="65" t="str">
        <f>IF(AND(AB$5&gt;=VLOOKUP($A28,WBS_계획!$A:$O,7,FALSE()),AB$5&lt;=VLOOKUP($A28,WBS_계획!$A:$O,8,FALSE())),"■","")</f>
        <v/>
      </c>
      <c r="AC28" s="66" t="str">
        <f>IF(AND(AC$5&gt;=VLOOKUP($A28,WBS_계획!$A:$O,7,FALSE()),AC$5&lt;=VLOOKUP($A28,WBS_계획!$A:$O,8,FALSE())),"■","")</f>
        <v/>
      </c>
    </row>
    <row r="29" spans="1:29" ht="27.95" customHeight="1">
      <c r="A29" s="18" t="s">
        <v>273</v>
      </c>
      <c r="B29" s="13" t="s">
        <v>355</v>
      </c>
      <c r="C29" s="57" t="str">
        <f>VLOOKUP($A29,WBS_계획!$A:$O,6,FALSE)</f>
        <v>강유나</v>
      </c>
      <c r="D29" s="20" t="str">
        <f>VLOOKUP($A29,WBS_계획!$A:$O,12,FALSE)</f>
        <v>완료</v>
      </c>
      <c r="E29" s="65" t="str">
        <f>IF(AND(E$5&gt;=VLOOKUP($A29,WBS_계획!$A:$O,7,FALSE()),E$5&lt;=VLOOKUP($A29,WBS_계획!$A:$O,8,FALSE())),"■","")</f>
        <v/>
      </c>
      <c r="F29" s="65" t="str">
        <f>IF(AND(F$5&gt;=VLOOKUP($A29,WBS_계획!$A:$O,7,FALSE()),F$5&lt;=VLOOKUP($A29,WBS_계획!$A:$O,8,FALSE())),"■","")</f>
        <v/>
      </c>
      <c r="G29" s="65" t="str">
        <f>IF(AND(G$5&gt;=VLOOKUP($A29,WBS_계획!$A:$O,7,FALSE()),G$5&lt;=VLOOKUP($A29,WBS_계획!$A:$O,8,FALSE())),"■","")</f>
        <v/>
      </c>
      <c r="H29" s="65" t="str">
        <f>IF(AND(H$5&gt;=VLOOKUP($A29,WBS_계획!$A:$O,7,FALSE()),H$5&lt;=VLOOKUP($A29,WBS_계획!$A:$O,8,FALSE())),"■","")</f>
        <v/>
      </c>
      <c r="I29" s="65" t="str">
        <f>IF(AND(I$5&gt;=VLOOKUP($A29,WBS_계획!$A:$O,7,FALSE()),I$5&lt;=VLOOKUP($A29,WBS_계획!$A:$O,8,FALSE())),"■","")</f>
        <v/>
      </c>
      <c r="J29" s="65" t="str">
        <f>IF(AND(J$5&gt;=VLOOKUP($A29,WBS_계획!$A:$O,7,FALSE()),J$5&lt;=VLOOKUP($A29,WBS_계획!$A:$O,8,FALSE())),"■","")</f>
        <v/>
      </c>
      <c r="K29" s="65" t="str">
        <f>IF(AND(K$5&gt;=VLOOKUP($A29,WBS_계획!$A:$O,7,FALSE()),K$5&lt;=VLOOKUP($A29,WBS_계획!$A:$O,8,FALSE())),"■","")</f>
        <v/>
      </c>
      <c r="L29" s="65" t="str">
        <f>IF(AND(L$5&gt;=VLOOKUP($A29,WBS_계획!$A:$O,7,FALSE()),L$5&lt;=VLOOKUP($A29,WBS_계획!$A:$O,8,FALSE())),"■","")</f>
        <v/>
      </c>
      <c r="M29" s="65" t="str">
        <f>IF(AND(M$5&gt;=VLOOKUP($A29,WBS_계획!$A:$O,7,FALSE()),M$5&lt;=VLOOKUP($A29,WBS_계획!$A:$O,8,FALSE())),"■","")</f>
        <v/>
      </c>
      <c r="N29" s="65" t="str">
        <f>IF(AND(N$5&gt;=VLOOKUP($A29,WBS_계획!$A:$O,7,FALSE()),N$5&lt;=VLOOKUP($A29,WBS_계획!$A:$O,8,FALSE())),"■","")</f>
        <v/>
      </c>
      <c r="O29" s="65" t="str">
        <f>IF(AND(O$5&gt;=VLOOKUP($A29,WBS_계획!$A:$O,7,FALSE()),O$5&lt;=VLOOKUP($A29,WBS_계획!$A:$O,8,FALSE())),"■","")</f>
        <v/>
      </c>
      <c r="P29" s="65" t="str">
        <f>IF(AND(P$5&gt;=VLOOKUP($A29,WBS_계획!$A:$O,7,FALSE()),P$5&lt;=VLOOKUP($A29,WBS_계획!$A:$O,8,FALSE())),"■","")</f>
        <v/>
      </c>
      <c r="Q29" s="65" t="str">
        <f>IF(AND(Q$5&gt;=VLOOKUP($A29,WBS_계획!$A:$O,7,FALSE()),Q$5&lt;=VLOOKUP($A29,WBS_계획!$A:$O,8,FALSE())),"■","")</f>
        <v/>
      </c>
      <c r="R29" s="65" t="str">
        <f>IF(AND(R$5&gt;=VLOOKUP($A29,WBS_계획!$A:$O,7,FALSE()),R$5&lt;=VLOOKUP($A29,WBS_계획!$A:$O,8,FALSE())),"■","")</f>
        <v/>
      </c>
      <c r="S29" s="65" t="str">
        <f>IF(AND(S$5&gt;=VLOOKUP($A29,WBS_계획!$A:$O,7,FALSE()),S$5&lt;=VLOOKUP($A29,WBS_계획!$A:$O,8,FALSE())),"■","")</f>
        <v/>
      </c>
      <c r="T29" s="65" t="str">
        <f>IF(AND(T$5&gt;=VLOOKUP($A29,WBS_계획!$A:$O,7,FALSE()),T$5&lt;=VLOOKUP($A29,WBS_계획!$A:$O,8,FALSE())),"■","")</f>
        <v>■</v>
      </c>
      <c r="U29" s="65" t="str">
        <f>IF(AND(U$5&gt;=VLOOKUP($A29,WBS_계획!$A:$O,7,FALSE()),U$5&lt;=VLOOKUP($A29,WBS_계획!$A:$O,8,FALSE())),"■","")</f>
        <v>■</v>
      </c>
      <c r="V29" s="65" t="str">
        <f>IF(AND(V$5&gt;=VLOOKUP($A29,WBS_계획!$A:$O,7,FALSE()),V$5&lt;=VLOOKUP($A29,WBS_계획!$A:$O,8,FALSE())),"■","")</f>
        <v/>
      </c>
      <c r="W29" s="65" t="str">
        <f>IF(AND(W$5&gt;=VLOOKUP($A29,WBS_계획!$A:$O,7,FALSE()),W$5&lt;=VLOOKUP($A29,WBS_계획!$A:$O,8,FALSE())),"■","")</f>
        <v/>
      </c>
      <c r="X29" s="66" t="str">
        <f>IF(AND(X$5&gt;=VLOOKUP($A29,WBS_계획!$A:$O,7,FALSE()),X$5&lt;=VLOOKUP($A29,WBS_계획!$A:$O,8,FALSE())),"■","")</f>
        <v/>
      </c>
      <c r="Y29" s="65" t="str">
        <f>IF(AND(Y$5&gt;=VLOOKUP($A29,WBS_계획!$A:$O,7,FALSE()),Y$5&lt;=VLOOKUP($A29,WBS_계획!$A:$O,8,FALSE())),"■","")</f>
        <v/>
      </c>
      <c r="Z29" s="65" t="str">
        <f>IF(AND(Z$5&gt;=VLOOKUP($A29,WBS_계획!$A:$O,7,FALSE()),Z$5&lt;=VLOOKUP($A29,WBS_계획!$A:$O,8,FALSE())),"■","")</f>
        <v/>
      </c>
      <c r="AA29" s="65" t="str">
        <f>IF(AND(AA$5&gt;=VLOOKUP($A29,WBS_계획!$A:$O,7,FALSE()),AA$5&lt;=VLOOKUP($A29,WBS_계획!$A:$O,8,FALSE())),"■","")</f>
        <v/>
      </c>
      <c r="AB29" s="65" t="str">
        <f>IF(AND(AB$5&gt;=VLOOKUP($A29,WBS_계획!$A:$O,7,FALSE()),AB$5&lt;=VLOOKUP($A29,WBS_계획!$A:$O,8,FALSE())),"■","")</f>
        <v/>
      </c>
      <c r="AC29" s="66" t="str">
        <f>IF(AND(AC$5&gt;=VLOOKUP($A29,WBS_계획!$A:$O,7,FALSE()),AC$5&lt;=VLOOKUP($A29,WBS_계획!$A:$O,8,FALSE())),"■","")</f>
        <v/>
      </c>
    </row>
    <row r="30" spans="1:29" ht="27.95" customHeight="1">
      <c r="A30" s="18" t="s">
        <v>275</v>
      </c>
      <c r="B30" s="13" t="s">
        <v>356</v>
      </c>
      <c r="C30" s="57" t="str">
        <f>VLOOKUP($A30,WBS_계획!$A:$O,6,FALSE)</f>
        <v>강유나</v>
      </c>
      <c r="D30" s="20" t="str">
        <f>VLOOKUP($A30,WBS_계획!$A:$O,12,FALSE)</f>
        <v>완료</v>
      </c>
      <c r="E30" s="65" t="str">
        <f>IF(AND(E$5&gt;=VLOOKUP($A30,WBS_계획!$A:$O,7,FALSE()),E$5&lt;=VLOOKUP($A30,WBS_계획!$A:$O,8,FALSE())),"■","")</f>
        <v/>
      </c>
      <c r="F30" s="65" t="str">
        <f>IF(AND(F$5&gt;=VLOOKUP($A30,WBS_계획!$A:$O,7,FALSE()),F$5&lt;=VLOOKUP($A30,WBS_계획!$A:$O,8,FALSE())),"■","")</f>
        <v/>
      </c>
      <c r="G30" s="65" t="str">
        <f>IF(AND(G$5&gt;=VLOOKUP($A30,WBS_계획!$A:$O,7,FALSE()),G$5&lt;=VLOOKUP($A30,WBS_계획!$A:$O,8,FALSE())),"■","")</f>
        <v/>
      </c>
      <c r="H30" s="65" t="str">
        <f>IF(AND(H$5&gt;=VLOOKUP($A30,WBS_계획!$A:$O,7,FALSE()),H$5&lt;=VLOOKUP($A30,WBS_계획!$A:$O,8,FALSE())),"■","")</f>
        <v/>
      </c>
      <c r="I30" s="65" t="str">
        <f>IF(AND(I$5&gt;=VLOOKUP($A30,WBS_계획!$A:$O,7,FALSE()),I$5&lt;=VLOOKUP($A30,WBS_계획!$A:$O,8,FALSE())),"■","")</f>
        <v/>
      </c>
      <c r="J30" s="65" t="str">
        <f>IF(AND(J$5&gt;=VLOOKUP($A30,WBS_계획!$A:$O,7,FALSE()),J$5&lt;=VLOOKUP($A30,WBS_계획!$A:$O,8,FALSE())),"■","")</f>
        <v/>
      </c>
      <c r="K30" s="65" t="str">
        <f>IF(AND(K$5&gt;=VLOOKUP($A30,WBS_계획!$A:$O,7,FALSE()),K$5&lt;=VLOOKUP($A30,WBS_계획!$A:$O,8,FALSE())),"■","")</f>
        <v/>
      </c>
      <c r="L30" s="65" t="str">
        <f>IF(AND(L$5&gt;=VLOOKUP($A30,WBS_계획!$A:$O,7,FALSE()),L$5&lt;=VLOOKUP($A30,WBS_계획!$A:$O,8,FALSE())),"■","")</f>
        <v/>
      </c>
      <c r="M30" s="65" t="str">
        <f>IF(AND(M$5&gt;=VLOOKUP($A30,WBS_계획!$A:$O,7,FALSE()),M$5&lt;=VLOOKUP($A30,WBS_계획!$A:$O,8,FALSE())),"■","")</f>
        <v/>
      </c>
      <c r="N30" s="65" t="str">
        <f>IF(AND(N$5&gt;=VLOOKUP($A30,WBS_계획!$A:$O,7,FALSE()),N$5&lt;=VLOOKUP($A30,WBS_계획!$A:$O,8,FALSE())),"■","")</f>
        <v/>
      </c>
      <c r="O30" s="65" t="str">
        <f>IF(AND(O$5&gt;=VLOOKUP($A30,WBS_계획!$A:$O,7,FALSE()),O$5&lt;=VLOOKUP($A30,WBS_계획!$A:$O,8,FALSE())),"■","")</f>
        <v/>
      </c>
      <c r="P30" s="65" t="str">
        <f>IF(AND(P$5&gt;=VLOOKUP($A30,WBS_계획!$A:$O,7,FALSE()),P$5&lt;=VLOOKUP($A30,WBS_계획!$A:$O,8,FALSE())),"■","")</f>
        <v/>
      </c>
      <c r="Q30" s="65" t="str">
        <f>IF(AND(Q$5&gt;=VLOOKUP($A30,WBS_계획!$A:$O,7,FALSE()),Q$5&lt;=VLOOKUP($A30,WBS_계획!$A:$O,8,FALSE())),"■","")</f>
        <v/>
      </c>
      <c r="R30" s="65" t="str">
        <f>IF(AND(R$5&gt;=VLOOKUP($A30,WBS_계획!$A:$O,7,FALSE()),R$5&lt;=VLOOKUP($A30,WBS_계획!$A:$O,8,FALSE())),"■","")</f>
        <v/>
      </c>
      <c r="S30" s="65" t="str">
        <f>IF(AND(S$5&gt;=VLOOKUP($A30,WBS_계획!$A:$O,7,FALSE()),S$5&lt;=VLOOKUP($A30,WBS_계획!$A:$O,8,FALSE())),"■","")</f>
        <v/>
      </c>
      <c r="T30" s="65" t="str">
        <f>IF(AND(T$5&gt;=VLOOKUP($A30,WBS_계획!$A:$O,7,FALSE()),T$5&lt;=VLOOKUP($A30,WBS_계획!$A:$O,8,FALSE())),"■","")</f>
        <v/>
      </c>
      <c r="U30" s="65" t="str">
        <f>IF(AND(U$5&gt;=VLOOKUP($A30,WBS_계획!$A:$O,7,FALSE()),U$5&lt;=VLOOKUP($A30,WBS_계획!$A:$O,8,FALSE())),"■","")</f>
        <v>■</v>
      </c>
      <c r="V30" s="65" t="str">
        <f>IF(AND(V$5&gt;=VLOOKUP($A30,WBS_계획!$A:$O,7,FALSE()),V$5&lt;=VLOOKUP($A30,WBS_계획!$A:$O,8,FALSE())),"■","")</f>
        <v>■</v>
      </c>
      <c r="W30" s="65" t="str">
        <f>IF(AND(W$5&gt;=VLOOKUP($A30,WBS_계획!$A:$O,7,FALSE()),W$5&lt;=VLOOKUP($A30,WBS_계획!$A:$O,8,FALSE())),"■","")</f>
        <v/>
      </c>
      <c r="X30" s="66" t="str">
        <f>IF(AND(X$5&gt;=VLOOKUP($A30,WBS_계획!$A:$O,7,FALSE()),X$5&lt;=VLOOKUP($A30,WBS_계획!$A:$O,8,FALSE())),"■","")</f>
        <v/>
      </c>
      <c r="Y30" s="65" t="str">
        <f>IF(AND(Y$5&gt;=VLOOKUP($A30,WBS_계획!$A:$O,7,FALSE()),Y$5&lt;=VLOOKUP($A30,WBS_계획!$A:$O,8,FALSE())),"■","")</f>
        <v/>
      </c>
      <c r="Z30" s="65" t="str">
        <f>IF(AND(Z$5&gt;=VLOOKUP($A30,WBS_계획!$A:$O,7,FALSE()),Z$5&lt;=VLOOKUP($A30,WBS_계획!$A:$O,8,FALSE())),"■","")</f>
        <v/>
      </c>
      <c r="AA30" s="65" t="str">
        <f>IF(AND(AA$5&gt;=VLOOKUP($A30,WBS_계획!$A:$O,7,FALSE()),AA$5&lt;=VLOOKUP($A30,WBS_계획!$A:$O,8,FALSE())),"■","")</f>
        <v/>
      </c>
      <c r="AB30" s="65" t="str">
        <f>IF(AND(AB$5&gt;=VLOOKUP($A30,WBS_계획!$A:$O,7,FALSE()),AB$5&lt;=VLOOKUP($A30,WBS_계획!$A:$O,8,FALSE())),"■","")</f>
        <v/>
      </c>
      <c r="AC30" s="66" t="str">
        <f>IF(AND(AC$5&gt;=VLOOKUP($A30,WBS_계획!$A:$O,7,FALSE()),AC$5&lt;=VLOOKUP($A30,WBS_계획!$A:$O,8,FALSE())),"■","")</f>
        <v/>
      </c>
    </row>
    <row r="31" spans="1:29" ht="27.95" customHeight="1">
      <c r="A31" s="18" t="s">
        <v>263</v>
      </c>
      <c r="B31" s="13" t="s">
        <v>335</v>
      </c>
      <c r="C31" s="57" t="str">
        <f>VLOOKUP($A31,WBS_계획!$A:$O,6,FALSE)</f>
        <v>강유나</v>
      </c>
      <c r="D31" s="20" t="str">
        <f>VLOOKUP($A31,WBS_계획!$A:$O,12,FALSE)</f>
        <v>완료</v>
      </c>
      <c r="E31" s="65" t="str">
        <f>IF(AND(E$5&gt;=VLOOKUP($A31,WBS_계획!$A:$O,7,FALSE()),E$5&lt;=VLOOKUP($A31,WBS_계획!$A:$O,8,FALSE())),"■","")</f>
        <v/>
      </c>
      <c r="F31" s="65" t="str">
        <f>IF(AND(F$5&gt;=VLOOKUP($A31,WBS_계획!$A:$O,7,FALSE()),F$5&lt;=VLOOKUP($A31,WBS_계획!$A:$O,8,FALSE())),"■","")</f>
        <v/>
      </c>
      <c r="G31" s="65" t="str">
        <f>IF(AND(G$5&gt;=VLOOKUP($A31,WBS_계획!$A:$O,7,FALSE()),G$5&lt;=VLOOKUP($A31,WBS_계획!$A:$O,8,FALSE())),"■","")</f>
        <v/>
      </c>
      <c r="H31" s="65" t="str">
        <f>IF(AND(H$5&gt;=VLOOKUP($A31,WBS_계획!$A:$O,7,FALSE()),H$5&lt;=VLOOKUP($A31,WBS_계획!$A:$O,8,FALSE())),"■","")</f>
        <v/>
      </c>
      <c r="I31" s="65" t="str">
        <f>IF(AND(I$5&gt;=VLOOKUP($A31,WBS_계획!$A:$O,7,FALSE()),I$5&lt;=VLOOKUP($A31,WBS_계획!$A:$O,8,FALSE())),"■","")</f>
        <v/>
      </c>
      <c r="J31" s="65" t="str">
        <f>IF(AND(J$5&gt;=VLOOKUP($A31,WBS_계획!$A:$O,7,FALSE()),J$5&lt;=VLOOKUP($A31,WBS_계획!$A:$O,8,FALSE())),"■","")</f>
        <v/>
      </c>
      <c r="K31" s="65" t="str">
        <f>IF(AND(K$5&gt;=VLOOKUP($A31,WBS_계획!$A:$O,7,FALSE()),K$5&lt;=VLOOKUP($A31,WBS_계획!$A:$O,8,FALSE())),"■","")</f>
        <v/>
      </c>
      <c r="L31" s="65" t="str">
        <f>IF(AND(L$5&gt;=VLOOKUP($A31,WBS_계획!$A:$O,7,FALSE()),L$5&lt;=VLOOKUP($A31,WBS_계획!$A:$O,8,FALSE())),"■","")</f>
        <v/>
      </c>
      <c r="M31" s="65" t="str">
        <f>IF(AND(M$5&gt;=VLOOKUP($A31,WBS_계획!$A:$O,7,FALSE()),M$5&lt;=VLOOKUP($A31,WBS_계획!$A:$O,8,FALSE())),"■","")</f>
        <v/>
      </c>
      <c r="N31" s="65" t="str">
        <f>IF(AND(N$5&gt;=VLOOKUP($A31,WBS_계획!$A:$O,7,FALSE()),N$5&lt;=VLOOKUP($A31,WBS_계획!$A:$O,8,FALSE())),"■","")</f>
        <v/>
      </c>
      <c r="O31" s="65" t="str">
        <f>IF(AND(O$5&gt;=VLOOKUP($A31,WBS_계획!$A:$O,7,FALSE()),O$5&lt;=VLOOKUP($A31,WBS_계획!$A:$O,8,FALSE())),"■","")</f>
        <v/>
      </c>
      <c r="P31" s="65" t="str">
        <f>IF(AND(P$5&gt;=VLOOKUP($A31,WBS_계획!$A:$O,7,FALSE()),P$5&lt;=VLOOKUP($A31,WBS_계획!$A:$O,8,FALSE())),"■","")</f>
        <v/>
      </c>
      <c r="Q31" s="65" t="str">
        <f>IF(AND(Q$5&gt;=VLOOKUP($A31,WBS_계획!$A:$O,7,FALSE()),Q$5&lt;=VLOOKUP($A31,WBS_계획!$A:$O,8,FALSE())),"■","")</f>
        <v>■</v>
      </c>
      <c r="R31" s="65" t="str">
        <f>IF(AND(R$5&gt;=VLOOKUP($A31,WBS_계획!$A:$O,7,FALSE()),R$5&lt;=VLOOKUP($A31,WBS_계획!$A:$O,8,FALSE())),"■","")</f>
        <v>■</v>
      </c>
      <c r="S31" s="65" t="str">
        <f>IF(AND(S$5&gt;=VLOOKUP($A31,WBS_계획!$A:$O,7,FALSE()),S$5&lt;=VLOOKUP($A31,WBS_계획!$A:$O,8,FALSE())),"■","")</f>
        <v>■</v>
      </c>
      <c r="T31" s="65" t="str">
        <f>IF(AND(T$5&gt;=VLOOKUP($A31,WBS_계획!$A:$O,7,FALSE()),T$5&lt;=VLOOKUP($A31,WBS_계획!$A:$O,8,FALSE())),"■","")</f>
        <v/>
      </c>
      <c r="U31" s="65" t="str">
        <f>IF(AND(U$5&gt;=VLOOKUP($A31,WBS_계획!$A:$O,7,FALSE()),U$5&lt;=VLOOKUP($A31,WBS_계획!$A:$O,8,FALSE())),"■","")</f>
        <v/>
      </c>
      <c r="V31" s="65" t="str">
        <f>IF(AND(V$5&gt;=VLOOKUP($A31,WBS_계획!$A:$O,7,FALSE()),V$5&lt;=VLOOKUP($A31,WBS_계획!$A:$O,8,FALSE())),"■","")</f>
        <v/>
      </c>
      <c r="W31" s="65" t="str">
        <f>IF(AND(W$5&gt;=VLOOKUP($A31,WBS_계획!$A:$O,7,FALSE()),W$5&lt;=VLOOKUP($A31,WBS_계획!$A:$O,8,FALSE())),"■","")</f>
        <v/>
      </c>
      <c r="X31" s="66" t="str">
        <f>IF(AND(X$5&gt;=VLOOKUP($A31,WBS_계획!$A:$O,7,FALSE()),X$5&lt;=VLOOKUP($A31,WBS_계획!$A:$O,8,FALSE())),"■","")</f>
        <v/>
      </c>
      <c r="Y31" s="65" t="str">
        <f>IF(AND(Y$5&gt;=VLOOKUP($A31,WBS_계획!$A:$O,7,FALSE()),Y$5&lt;=VLOOKUP($A31,WBS_계획!$A:$O,8,FALSE())),"■","")</f>
        <v/>
      </c>
      <c r="Z31" s="65" t="str">
        <f>IF(AND(Z$5&gt;=VLOOKUP($A31,WBS_계획!$A:$O,7,FALSE()),Z$5&lt;=VLOOKUP($A31,WBS_계획!$A:$O,8,FALSE())),"■","")</f>
        <v/>
      </c>
      <c r="AA31" s="65" t="str">
        <f>IF(AND(AA$5&gt;=VLOOKUP($A31,WBS_계획!$A:$O,7,FALSE()),AA$5&lt;=VLOOKUP($A31,WBS_계획!$A:$O,8,FALSE())),"■","")</f>
        <v/>
      </c>
      <c r="AB31" s="65" t="str">
        <f>IF(AND(AB$5&gt;=VLOOKUP($A31,WBS_계획!$A:$O,7,FALSE()),AB$5&lt;=VLOOKUP($A31,WBS_계획!$A:$O,8,FALSE())),"■","")</f>
        <v/>
      </c>
      <c r="AC31" s="66" t="str">
        <f>IF(AND(AC$5&gt;=VLOOKUP($A31,WBS_계획!$A:$O,7,FALSE()),AC$5&lt;=VLOOKUP($A31,WBS_계획!$A:$O,8,FALSE())),"■","")</f>
        <v/>
      </c>
    </row>
    <row r="32" spans="1:29" ht="27.95" customHeight="1">
      <c r="A32" s="18" t="s">
        <v>262</v>
      </c>
      <c r="B32" s="13" t="s">
        <v>334</v>
      </c>
      <c r="C32" s="57" t="str">
        <f>VLOOKUP($A32,WBS_계획!$A:$O,6,FALSE)</f>
        <v>강유나</v>
      </c>
      <c r="D32" s="20" t="str">
        <f>VLOOKUP($A32,WBS_계획!$A:$O,12,FALSE)</f>
        <v>완료</v>
      </c>
      <c r="E32" s="65" t="str">
        <f>IF(AND(E$5&gt;=VLOOKUP($A32,WBS_계획!$A:$O,7,FALSE()),E$5&lt;=VLOOKUP($A32,WBS_계획!$A:$O,8,FALSE())),"■","")</f>
        <v/>
      </c>
      <c r="F32" s="65" t="str">
        <f>IF(AND(F$5&gt;=VLOOKUP($A32,WBS_계획!$A:$O,7,FALSE()),F$5&lt;=VLOOKUP($A32,WBS_계획!$A:$O,8,FALSE())),"■","")</f>
        <v/>
      </c>
      <c r="G32" s="65" t="str">
        <f>IF(AND(G$5&gt;=VLOOKUP($A32,WBS_계획!$A:$O,7,FALSE()),G$5&lt;=VLOOKUP($A32,WBS_계획!$A:$O,8,FALSE())),"■","")</f>
        <v/>
      </c>
      <c r="H32" s="65" t="str">
        <f>IF(AND(H$5&gt;=VLOOKUP($A32,WBS_계획!$A:$O,7,FALSE()),H$5&lt;=VLOOKUP($A32,WBS_계획!$A:$O,8,FALSE())),"■","")</f>
        <v/>
      </c>
      <c r="I32" s="65" t="str">
        <f>IF(AND(I$5&gt;=VLOOKUP($A32,WBS_계획!$A:$O,7,FALSE()),I$5&lt;=VLOOKUP($A32,WBS_계획!$A:$O,8,FALSE())),"■","")</f>
        <v/>
      </c>
      <c r="J32" s="65" t="str">
        <f>IF(AND(J$5&gt;=VLOOKUP($A32,WBS_계획!$A:$O,7,FALSE()),J$5&lt;=VLOOKUP($A32,WBS_계획!$A:$O,8,FALSE())),"■","")</f>
        <v/>
      </c>
      <c r="K32" s="65" t="str">
        <f>IF(AND(K$5&gt;=VLOOKUP($A32,WBS_계획!$A:$O,7,FALSE()),K$5&lt;=VLOOKUP($A32,WBS_계획!$A:$O,8,FALSE())),"■","")</f>
        <v/>
      </c>
      <c r="L32" s="65" t="str">
        <f>IF(AND(L$5&gt;=VLOOKUP($A32,WBS_계획!$A:$O,7,FALSE()),L$5&lt;=VLOOKUP($A32,WBS_계획!$A:$O,8,FALSE())),"■","")</f>
        <v/>
      </c>
      <c r="M32" s="65" t="str">
        <f>IF(AND(M$5&gt;=VLOOKUP($A32,WBS_계획!$A:$O,7,FALSE()),M$5&lt;=VLOOKUP($A32,WBS_계획!$A:$O,8,FALSE())),"■","")</f>
        <v/>
      </c>
      <c r="N32" s="65" t="str">
        <f>IF(AND(N$5&gt;=VLOOKUP($A32,WBS_계획!$A:$O,7,FALSE()),N$5&lt;=VLOOKUP($A32,WBS_계획!$A:$O,8,FALSE())),"■","")</f>
        <v/>
      </c>
      <c r="O32" s="65" t="str">
        <f>IF(AND(O$5&gt;=VLOOKUP($A32,WBS_계획!$A:$O,7,FALSE()),O$5&lt;=VLOOKUP($A32,WBS_계획!$A:$O,8,FALSE())),"■","")</f>
        <v/>
      </c>
      <c r="P32" s="65" t="str">
        <f>IF(AND(P$5&gt;=VLOOKUP($A32,WBS_계획!$A:$O,7,FALSE()),P$5&lt;=VLOOKUP($A32,WBS_계획!$A:$O,8,FALSE())),"■","")</f>
        <v/>
      </c>
      <c r="Q32" s="65" t="str">
        <f>IF(AND(Q$5&gt;=VLOOKUP($A32,WBS_계획!$A:$O,7,FALSE()),Q$5&lt;=VLOOKUP($A32,WBS_계획!$A:$O,8,FALSE())),"■","")</f>
        <v>■</v>
      </c>
      <c r="R32" s="65" t="str">
        <f>IF(AND(R$5&gt;=VLOOKUP($A32,WBS_계획!$A:$O,7,FALSE()),R$5&lt;=VLOOKUP($A32,WBS_계획!$A:$O,8,FALSE())),"■","")</f>
        <v>■</v>
      </c>
      <c r="S32" s="65" t="str">
        <f>IF(AND(S$5&gt;=VLOOKUP($A32,WBS_계획!$A:$O,7,FALSE()),S$5&lt;=VLOOKUP($A32,WBS_계획!$A:$O,8,FALSE())),"■","")</f>
        <v>■</v>
      </c>
      <c r="T32" s="65" t="str">
        <f>IF(AND(T$5&gt;=VLOOKUP($A32,WBS_계획!$A:$O,7,FALSE()),T$5&lt;=VLOOKUP($A32,WBS_계획!$A:$O,8,FALSE())),"■","")</f>
        <v>■</v>
      </c>
      <c r="U32" s="65" t="str">
        <f>IF(AND(U$5&gt;=VLOOKUP($A32,WBS_계획!$A:$O,7,FALSE()),U$5&lt;=VLOOKUP($A32,WBS_계획!$A:$O,8,FALSE())),"■","")</f>
        <v/>
      </c>
      <c r="V32" s="65" t="str">
        <f>IF(AND(V$5&gt;=VLOOKUP($A32,WBS_계획!$A:$O,7,FALSE()),V$5&lt;=VLOOKUP($A32,WBS_계획!$A:$O,8,FALSE())),"■","")</f>
        <v/>
      </c>
      <c r="W32" s="65" t="str">
        <f>IF(AND(W$5&gt;=VLOOKUP($A32,WBS_계획!$A:$O,7,FALSE()),W$5&lt;=VLOOKUP($A32,WBS_계획!$A:$O,8,FALSE())),"■","")</f>
        <v/>
      </c>
      <c r="X32" s="66" t="str">
        <f>IF(AND(X$5&gt;=VLOOKUP($A32,WBS_계획!$A:$O,7,FALSE()),X$5&lt;=VLOOKUP($A32,WBS_계획!$A:$O,8,FALSE())),"■","")</f>
        <v/>
      </c>
      <c r="Y32" s="65" t="str">
        <f>IF(AND(Y$5&gt;=VLOOKUP($A32,WBS_계획!$A:$O,7,FALSE()),Y$5&lt;=VLOOKUP($A32,WBS_계획!$A:$O,8,FALSE())),"■","")</f>
        <v/>
      </c>
      <c r="Z32" s="65" t="str">
        <f>IF(AND(Z$5&gt;=VLOOKUP($A32,WBS_계획!$A:$O,7,FALSE()),Z$5&lt;=VLOOKUP($A32,WBS_계획!$A:$O,8,FALSE())),"■","")</f>
        <v/>
      </c>
      <c r="AA32" s="65" t="str">
        <f>IF(AND(AA$5&gt;=VLOOKUP($A32,WBS_계획!$A:$O,7,FALSE()),AA$5&lt;=VLOOKUP($A32,WBS_계획!$A:$O,8,FALSE())),"■","")</f>
        <v/>
      </c>
      <c r="AB32" s="65" t="str">
        <f>IF(AND(AB$5&gt;=VLOOKUP($A32,WBS_계획!$A:$O,7,FALSE()),AB$5&lt;=VLOOKUP($A32,WBS_계획!$A:$O,8,FALSE())),"■","")</f>
        <v/>
      </c>
      <c r="AC32" s="66" t="str">
        <f>IF(AND(AC$5&gt;=VLOOKUP($A32,WBS_계획!$A:$O,7,FALSE()),AC$5&lt;=VLOOKUP($A32,WBS_계획!$A:$O,8,FALSE())),"■","")</f>
        <v/>
      </c>
    </row>
    <row r="33" spans="1:29" ht="27.95" customHeight="1">
      <c r="A33" s="18" t="s">
        <v>353</v>
      </c>
      <c r="B33" s="13" t="s">
        <v>147</v>
      </c>
      <c r="C33" s="57" t="str">
        <f>VLOOKUP($A33,WBS_계획!$A:$O,6,FALSE)</f>
        <v>김예은</v>
      </c>
      <c r="D33" s="20" t="str">
        <f>VLOOKUP($A33,WBS_계획!$A:$O,12,FALSE)</f>
        <v>진행중</v>
      </c>
      <c r="E33" s="65" t="str">
        <f>IF(AND(E$5&gt;=VLOOKUP($A33,WBS_계획!$A:$O,7,FALSE()),E$5&lt;=VLOOKUP($A33,WBS_계획!$A:$O,8,FALSE())),"■","")</f>
        <v/>
      </c>
      <c r="F33" s="65" t="str">
        <f>IF(AND(F$5&gt;=VLOOKUP($A33,WBS_계획!$A:$O,7,FALSE()),F$5&lt;=VLOOKUP($A33,WBS_계획!$A:$O,8,FALSE())),"■","")</f>
        <v/>
      </c>
      <c r="G33" s="65" t="str">
        <f>IF(AND(G$5&gt;=VLOOKUP($A33,WBS_계획!$A:$O,7,FALSE()),G$5&lt;=VLOOKUP($A33,WBS_계획!$A:$O,8,FALSE())),"■","")</f>
        <v/>
      </c>
      <c r="H33" s="65" t="str">
        <f>IF(AND(H$5&gt;=VLOOKUP($A33,WBS_계획!$A:$O,7,FALSE()),H$5&lt;=VLOOKUP($A33,WBS_계획!$A:$O,8,FALSE())),"■","")</f>
        <v/>
      </c>
      <c r="I33" s="65" t="str">
        <f>IF(AND(I$5&gt;=VLOOKUP($A33,WBS_계획!$A:$O,7,FALSE()),I$5&lt;=VLOOKUP($A33,WBS_계획!$A:$O,8,FALSE())),"■","")</f>
        <v/>
      </c>
      <c r="J33" s="65" t="str">
        <f>IF(AND(J$5&gt;=VLOOKUP($A33,WBS_계획!$A:$O,7,FALSE()),J$5&lt;=VLOOKUP($A33,WBS_계획!$A:$O,8,FALSE())),"■","")</f>
        <v/>
      </c>
      <c r="K33" s="65" t="str">
        <f>IF(AND(K$5&gt;=VLOOKUP($A33,WBS_계획!$A:$O,7,FALSE()),K$5&lt;=VLOOKUP($A33,WBS_계획!$A:$O,8,FALSE())),"■","")</f>
        <v/>
      </c>
      <c r="L33" s="65" t="str">
        <f>IF(AND(L$5&gt;=VLOOKUP($A33,WBS_계획!$A:$O,7,FALSE()),L$5&lt;=VLOOKUP($A33,WBS_계획!$A:$O,8,FALSE())),"■","")</f>
        <v/>
      </c>
      <c r="M33" s="65" t="str">
        <f>IF(AND(M$5&gt;=VLOOKUP($A33,WBS_계획!$A:$O,7,FALSE()),M$5&lt;=VLOOKUP($A33,WBS_계획!$A:$O,8,FALSE())),"■","")</f>
        <v/>
      </c>
      <c r="N33" s="65" t="str">
        <f>IF(AND(N$5&gt;=VLOOKUP($A33,WBS_계획!$A:$O,7,FALSE()),N$5&lt;=VLOOKUP($A33,WBS_계획!$A:$O,8,FALSE())),"■","")</f>
        <v/>
      </c>
      <c r="O33" s="65" t="str">
        <f>IF(AND(O$5&gt;=VLOOKUP($A33,WBS_계획!$A:$O,7,FALSE()),O$5&lt;=VLOOKUP($A33,WBS_계획!$A:$O,8,FALSE())),"■","")</f>
        <v/>
      </c>
      <c r="P33" s="65" t="str">
        <f>IF(AND(P$5&gt;=VLOOKUP($A33,WBS_계획!$A:$O,7,FALSE()),P$5&lt;=VLOOKUP($A33,WBS_계획!$A:$O,8,FALSE())),"■","")</f>
        <v/>
      </c>
      <c r="Q33" s="65" t="str">
        <f>IF(AND(Q$5&gt;=VLOOKUP($A33,WBS_계획!$A:$O,7,FALSE()),Q$5&lt;=VLOOKUP($A33,WBS_계획!$A:$O,8,FALSE())),"■","")</f>
        <v>■</v>
      </c>
      <c r="R33" s="65" t="str">
        <f>IF(AND(R$5&gt;=VLOOKUP($A33,WBS_계획!$A:$O,7,FALSE()),R$5&lt;=VLOOKUP($A33,WBS_계획!$A:$O,8,FALSE())),"■","")</f>
        <v>■</v>
      </c>
      <c r="S33" s="65" t="str">
        <f>IF(AND(S$5&gt;=VLOOKUP($A33,WBS_계획!$A:$O,7,FALSE()),S$5&lt;=VLOOKUP($A33,WBS_계획!$A:$O,8,FALSE())),"■","")</f>
        <v>■</v>
      </c>
      <c r="T33" s="65" t="str">
        <f>IF(AND(T$5&gt;=VLOOKUP($A33,WBS_계획!$A:$O,7,FALSE()),T$5&lt;=VLOOKUP($A33,WBS_계획!$A:$O,8,FALSE())),"■","")</f>
        <v>■</v>
      </c>
      <c r="U33" s="65" t="str">
        <f>IF(AND(U$5&gt;=VLOOKUP($A33,WBS_계획!$A:$O,7,FALSE()),U$5&lt;=VLOOKUP($A33,WBS_계획!$A:$O,8,FALSE())),"■","")</f>
        <v>■</v>
      </c>
      <c r="V33" s="65" t="str">
        <f>IF(AND(V$5&gt;=VLOOKUP($A33,WBS_계획!$A:$O,7,FALSE()),V$5&lt;=VLOOKUP($A33,WBS_계획!$A:$O,8,FALSE())),"■","")</f>
        <v>■</v>
      </c>
      <c r="W33" s="65" t="str">
        <f>IF(AND(W$5&gt;=VLOOKUP($A33,WBS_계획!$A:$O,7,FALSE()),W$5&lt;=VLOOKUP($A33,WBS_계획!$A:$O,8,FALSE())),"■","")</f>
        <v>■</v>
      </c>
      <c r="X33" s="66" t="str">
        <f>IF(AND(X$5&gt;=VLOOKUP($A33,WBS_계획!$A:$O,7,FALSE()),X$5&lt;=VLOOKUP($A33,WBS_계획!$A:$O,8,FALSE())),"■","")</f>
        <v/>
      </c>
      <c r="Y33" s="65" t="str">
        <f>IF(AND(Y$5&gt;=VLOOKUP($A33,WBS_계획!$A:$O,7,FALSE()),Y$5&lt;=VLOOKUP($A33,WBS_계획!$A:$O,8,FALSE())),"■","")</f>
        <v/>
      </c>
      <c r="Z33" s="65" t="str">
        <f>IF(AND(Z$5&gt;=VLOOKUP($A33,WBS_계획!$A:$O,7,FALSE()),Z$5&lt;=VLOOKUP($A33,WBS_계획!$A:$O,8,FALSE())),"■","")</f>
        <v/>
      </c>
      <c r="AA33" s="65" t="str">
        <f>IF(AND(AA$5&gt;=VLOOKUP($A33,WBS_계획!$A:$O,7,FALSE()),AA$5&lt;=VLOOKUP($A33,WBS_계획!$A:$O,8,FALSE())),"■","")</f>
        <v/>
      </c>
      <c r="AB33" s="65" t="str">
        <f>IF(AND(AB$5&gt;=VLOOKUP($A33,WBS_계획!$A:$O,7,FALSE()),AB$5&lt;=VLOOKUP($A33,WBS_계획!$A:$O,8,FALSE())),"■","")</f>
        <v/>
      </c>
      <c r="AC33" s="66" t="str">
        <f>IF(AND(AC$5&gt;=VLOOKUP($A33,WBS_계획!$A:$O,7,FALSE()),AC$5&lt;=VLOOKUP($A33,WBS_계획!$A:$O,8,FALSE())),"■","")</f>
        <v/>
      </c>
    </row>
    <row r="34" spans="1:29" ht="27.75" customHeight="1">
      <c r="A34" s="18" t="s">
        <v>249</v>
      </c>
      <c r="B34" s="13" t="s">
        <v>71</v>
      </c>
      <c r="C34" s="57" t="str">
        <f>VLOOKUP($A34,WBS_계획!$A:$O,6,FALSE)</f>
        <v>공동</v>
      </c>
      <c r="D34" s="20" t="str">
        <f>VLOOKUP($A34,WBS_계획!$A:$O,12,FALSE)</f>
        <v>완료</v>
      </c>
      <c r="E34" s="65" t="str">
        <f>IF(AND(E$5&gt;=VLOOKUP($A34,WBS_계획!$A:$O,7,FALSE()),E$5&lt;=VLOOKUP($A34,WBS_계획!$A:$O,8,FALSE())),"■","")</f>
        <v/>
      </c>
      <c r="F34" s="65" t="str">
        <f>IF(AND(F$5&gt;=VLOOKUP($A34,WBS_계획!$A:$O,7,FALSE()),F$5&lt;=VLOOKUP($A34,WBS_계획!$A:$O,8,FALSE())),"■","")</f>
        <v/>
      </c>
      <c r="G34" s="65" t="str">
        <f>IF(AND(G$5&gt;=VLOOKUP($A34,WBS_계획!$A:$O,7,FALSE()),G$5&lt;=VLOOKUP($A34,WBS_계획!$A:$O,8,FALSE())),"■","")</f>
        <v/>
      </c>
      <c r="H34" s="65" t="str">
        <f>IF(AND(H$5&gt;=VLOOKUP($A34,WBS_계획!$A:$O,7,FALSE()),H$5&lt;=VLOOKUP($A34,WBS_계획!$A:$O,8,FALSE())),"■","")</f>
        <v/>
      </c>
      <c r="I34" s="65" t="str">
        <f>IF(AND(I$5&gt;=VLOOKUP($A34,WBS_계획!$A:$O,7,FALSE()),I$5&lt;=VLOOKUP($A34,WBS_계획!$A:$O,8,FALSE())),"■","")</f>
        <v/>
      </c>
      <c r="J34" s="65" t="str">
        <f>IF(AND(J$5&gt;=VLOOKUP($A34,WBS_계획!$A:$O,7,FALSE()),J$5&lt;=VLOOKUP($A34,WBS_계획!$A:$O,8,FALSE())),"■","")</f>
        <v/>
      </c>
      <c r="K34" s="65" t="str">
        <f>IF(AND(K$5&gt;=VLOOKUP($A34,WBS_계획!$A:$O,7,FALSE()),K$5&lt;=VLOOKUP($A34,WBS_계획!$A:$O,8,FALSE())),"■","")</f>
        <v/>
      </c>
      <c r="L34" s="65" t="str">
        <f>IF(AND(L$5&gt;=VLOOKUP($A34,WBS_계획!$A:$O,7,FALSE()),L$5&lt;=VLOOKUP($A34,WBS_계획!$A:$O,8,FALSE())),"■","")</f>
        <v/>
      </c>
      <c r="M34" s="65" t="str">
        <f>IF(AND(M$5&gt;=VLOOKUP($A34,WBS_계획!$A:$O,7,FALSE()),M$5&lt;=VLOOKUP($A34,WBS_계획!$A:$O,8,FALSE())),"■","")</f>
        <v/>
      </c>
      <c r="N34" s="65" t="str">
        <f>IF(AND(N$5&gt;=VLOOKUP($A34,WBS_계획!$A:$O,7,FALSE()),N$5&lt;=VLOOKUP($A34,WBS_계획!$A:$O,8,FALSE())),"■","")</f>
        <v/>
      </c>
      <c r="O34" s="65" t="str">
        <f>IF(AND(O$5&gt;=VLOOKUP($A34,WBS_계획!$A:$O,7,FALSE()),O$5&lt;=VLOOKUP($A34,WBS_계획!$A:$O,8,FALSE())),"■","")</f>
        <v/>
      </c>
      <c r="P34" s="65" t="str">
        <f>IF(AND(P$5&gt;=VLOOKUP($A34,WBS_계획!$A:$O,7,FALSE()),P$5&lt;=VLOOKUP($A34,WBS_계획!$A:$O,8,FALSE())),"■","")</f>
        <v/>
      </c>
      <c r="Q34" s="65" t="str">
        <f>IF(AND(Q$5&gt;=VLOOKUP($A34,WBS_계획!$A:$O,7,FALSE()),Q$5&lt;=VLOOKUP($A34,WBS_계획!$A:$O,8,FALSE())),"■","")</f>
        <v/>
      </c>
      <c r="R34" s="65" t="str">
        <f>IF(AND(R$5&gt;=VLOOKUP($A34,WBS_계획!$A:$O,7,FALSE()),R$5&lt;=VLOOKUP($A34,WBS_계획!$A:$O,8,FALSE())),"■","")</f>
        <v/>
      </c>
      <c r="S34" s="65" t="str">
        <f>IF(AND(S$5&gt;=VLOOKUP($A34,WBS_계획!$A:$O,7,FALSE()),S$5&lt;=VLOOKUP($A34,WBS_계획!$A:$O,8,FALSE())),"■","")</f>
        <v>■</v>
      </c>
      <c r="T34" s="65" t="str">
        <f>IF(AND(T$5&gt;=VLOOKUP($A34,WBS_계획!$A:$O,7,FALSE()),T$5&lt;=VLOOKUP($A34,WBS_계획!$A:$O,8,FALSE())),"■","")</f>
        <v>■</v>
      </c>
      <c r="U34" s="65" t="str">
        <f>IF(AND(U$5&gt;=VLOOKUP($A34,WBS_계획!$A:$O,7,FALSE()),U$5&lt;=VLOOKUP($A34,WBS_계획!$A:$O,8,FALSE())),"■","")</f>
        <v>■</v>
      </c>
      <c r="V34" s="65" t="str">
        <f>IF(AND(V$5&gt;=VLOOKUP($A34,WBS_계획!$A:$O,7,FALSE()),V$5&lt;=VLOOKUP($A34,WBS_계획!$A:$O,8,FALSE())),"■","")</f>
        <v/>
      </c>
      <c r="W34" s="65" t="str">
        <f>IF(AND(W$5&gt;=VLOOKUP($A34,WBS_계획!$A:$O,7,FALSE()),W$5&lt;=VLOOKUP($A34,WBS_계획!$A:$O,8,FALSE())),"■","")</f>
        <v/>
      </c>
      <c r="X34" s="66" t="str">
        <f>IF(AND(X$5&gt;=VLOOKUP($A34,WBS_계획!$A:$O,7,FALSE()),X$5&lt;=VLOOKUP($A34,WBS_계획!$A:$O,8,FALSE())),"■","")</f>
        <v/>
      </c>
      <c r="Y34" s="65" t="str">
        <f>IF(AND(Y$5&gt;=VLOOKUP($A34,WBS_계획!$A:$O,7,FALSE()),Y$5&lt;=VLOOKUP($A34,WBS_계획!$A:$O,8,FALSE())),"■","")</f>
        <v/>
      </c>
      <c r="Z34" s="65" t="str">
        <f>IF(AND(Z$5&gt;=VLOOKUP($A34,WBS_계획!$A:$O,7,FALSE()),Z$5&lt;=VLOOKUP($A34,WBS_계획!$A:$O,8,FALSE())),"■","")</f>
        <v/>
      </c>
      <c r="AA34" s="65" t="str">
        <f>IF(AND(AA$5&gt;=VLOOKUP($A34,WBS_계획!$A:$O,7,FALSE()),AA$5&lt;=VLOOKUP($A34,WBS_계획!$A:$O,8,FALSE())),"■","")</f>
        <v/>
      </c>
      <c r="AB34" s="65" t="str">
        <f>IF(AND(AB$5&gt;=VLOOKUP($A34,WBS_계획!$A:$O,7,FALSE()),AB$5&lt;=VLOOKUP($A34,WBS_계획!$A:$O,8,FALSE())),"■","")</f>
        <v/>
      </c>
      <c r="AC34" s="66" t="str">
        <f>IF(AND(AC$5&gt;=VLOOKUP($A34,WBS_계획!$A:$O,7,FALSE()),AC$5&lt;=VLOOKUP($A34,WBS_계획!$A:$O,8,FALSE())),"■","")</f>
        <v/>
      </c>
    </row>
    <row r="35" spans="1:29" ht="27.75" customHeight="1">
      <c r="A35" s="18" t="s">
        <v>267</v>
      </c>
      <c r="B35" s="13" t="s">
        <v>346</v>
      </c>
      <c r="C35" s="57" t="str">
        <f>VLOOKUP($A35,WBS_계획!$A:$O,6,FALSE)</f>
        <v>김예은</v>
      </c>
      <c r="D35" s="20" t="str">
        <f>VLOOKUP($A35,WBS_계획!$A:$O,12,FALSE)</f>
        <v>완료</v>
      </c>
      <c r="E35" s="65" t="str">
        <f>IF(AND(E$5&gt;=VLOOKUP($A35,WBS_계획!$A:$O,7,FALSE()),E$5&lt;=VLOOKUP($A35,WBS_계획!$A:$O,8,FALSE())),"■","")</f>
        <v/>
      </c>
      <c r="F35" s="65" t="str">
        <f>IF(AND(F$5&gt;=VLOOKUP($A35,WBS_계획!$A:$O,7,FALSE()),F$5&lt;=VLOOKUP($A35,WBS_계획!$A:$O,8,FALSE())),"■","")</f>
        <v/>
      </c>
      <c r="G35" s="65" t="str">
        <f>IF(AND(G$5&gt;=VLOOKUP($A35,WBS_계획!$A:$O,7,FALSE()),G$5&lt;=VLOOKUP($A35,WBS_계획!$A:$O,8,FALSE())),"■","")</f>
        <v/>
      </c>
      <c r="H35" s="65" t="str">
        <f>IF(AND(H$5&gt;=VLOOKUP($A35,WBS_계획!$A:$O,7,FALSE()),H$5&lt;=VLOOKUP($A35,WBS_계획!$A:$O,8,FALSE())),"■","")</f>
        <v/>
      </c>
      <c r="I35" s="65" t="str">
        <f>IF(AND(I$5&gt;=VLOOKUP($A35,WBS_계획!$A:$O,7,FALSE()),I$5&lt;=VLOOKUP($A35,WBS_계획!$A:$O,8,FALSE())),"■","")</f>
        <v/>
      </c>
      <c r="J35" s="65" t="str">
        <f>IF(AND(J$5&gt;=VLOOKUP($A35,WBS_계획!$A:$O,7,FALSE()),J$5&lt;=VLOOKUP($A35,WBS_계획!$A:$O,8,FALSE())),"■","")</f>
        <v/>
      </c>
      <c r="K35" s="65" t="str">
        <f>IF(AND(K$5&gt;=VLOOKUP($A35,WBS_계획!$A:$O,7,FALSE()),K$5&lt;=VLOOKUP($A35,WBS_계획!$A:$O,8,FALSE())),"■","")</f>
        <v/>
      </c>
      <c r="L35" s="65" t="str">
        <f>IF(AND(L$5&gt;=VLOOKUP($A35,WBS_계획!$A:$O,7,FALSE()),L$5&lt;=VLOOKUP($A35,WBS_계획!$A:$O,8,FALSE())),"■","")</f>
        <v/>
      </c>
      <c r="M35" s="65" t="str">
        <f>IF(AND(M$5&gt;=VLOOKUP($A35,WBS_계획!$A:$O,7,FALSE()),M$5&lt;=VLOOKUP($A35,WBS_계획!$A:$O,8,FALSE())),"■","")</f>
        <v/>
      </c>
      <c r="N35" s="65" t="str">
        <f>IF(AND(N$5&gt;=VLOOKUP($A35,WBS_계획!$A:$O,7,FALSE()),N$5&lt;=VLOOKUP($A35,WBS_계획!$A:$O,8,FALSE())),"■","")</f>
        <v/>
      </c>
      <c r="O35" s="65" t="str">
        <f>IF(AND(O$5&gt;=VLOOKUP($A35,WBS_계획!$A:$O,7,FALSE()),O$5&lt;=VLOOKUP($A35,WBS_계획!$A:$O,8,FALSE())),"■","")</f>
        <v/>
      </c>
      <c r="P35" s="65" t="str">
        <f>IF(AND(P$5&gt;=VLOOKUP($A35,WBS_계획!$A:$O,7,FALSE()),P$5&lt;=VLOOKUP($A35,WBS_계획!$A:$O,8,FALSE())),"■","")</f>
        <v/>
      </c>
      <c r="Q35" s="65" t="str">
        <f>IF(AND(Q$5&gt;=VLOOKUP($A35,WBS_계획!$A:$O,7,FALSE()),Q$5&lt;=VLOOKUP($A35,WBS_계획!$A:$O,8,FALSE())),"■","")</f>
        <v/>
      </c>
      <c r="R35" s="65" t="str">
        <f>IF(AND(R$5&gt;=VLOOKUP($A35,WBS_계획!$A:$O,7,FALSE()),R$5&lt;=VLOOKUP($A35,WBS_계획!$A:$O,8,FALSE())),"■","")</f>
        <v/>
      </c>
      <c r="S35" s="65" t="str">
        <f>IF(AND(S$5&gt;=VLOOKUP($A35,WBS_계획!$A:$O,7,FALSE()),S$5&lt;=VLOOKUP($A35,WBS_계획!$A:$O,8,FALSE())),"■","")</f>
        <v>■</v>
      </c>
      <c r="T35" s="65" t="str">
        <f>IF(AND(T$5&gt;=VLOOKUP($A35,WBS_계획!$A:$O,7,FALSE()),T$5&lt;=VLOOKUP($A35,WBS_계획!$A:$O,8,FALSE())),"■","")</f>
        <v/>
      </c>
      <c r="U35" s="65" t="str">
        <f>IF(AND(U$5&gt;=VLOOKUP($A35,WBS_계획!$A:$O,7,FALSE()),U$5&lt;=VLOOKUP($A35,WBS_계획!$A:$O,8,FALSE())),"■","")</f>
        <v/>
      </c>
      <c r="V35" s="65" t="str">
        <f>IF(AND(V$5&gt;=VLOOKUP($A35,WBS_계획!$A:$O,7,FALSE()),V$5&lt;=VLOOKUP($A35,WBS_계획!$A:$O,8,FALSE())),"■","")</f>
        <v/>
      </c>
      <c r="W35" s="65" t="str">
        <f>IF(AND(W$5&gt;=VLOOKUP($A35,WBS_계획!$A:$O,7,FALSE()),W$5&lt;=VLOOKUP($A35,WBS_계획!$A:$O,8,FALSE())),"■","")</f>
        <v/>
      </c>
      <c r="X35" s="66" t="str">
        <f>IF(AND(X$5&gt;=VLOOKUP($A35,WBS_계획!$A:$O,7,FALSE()),X$5&lt;=VLOOKUP($A35,WBS_계획!$A:$O,8,FALSE())),"■","")</f>
        <v/>
      </c>
      <c r="Y35" s="65" t="str">
        <f>IF(AND(Y$5&gt;=VLOOKUP($A35,WBS_계획!$A:$O,7,FALSE()),Y$5&lt;=VLOOKUP($A35,WBS_계획!$A:$O,8,FALSE())),"■","")</f>
        <v/>
      </c>
      <c r="Z35" s="65" t="str">
        <f>IF(AND(Z$5&gt;=VLOOKUP($A35,WBS_계획!$A:$O,7,FALSE()),Z$5&lt;=VLOOKUP($A35,WBS_계획!$A:$O,8,FALSE())),"■","")</f>
        <v/>
      </c>
      <c r="AA35" s="65" t="str">
        <f>IF(AND(AA$5&gt;=VLOOKUP($A35,WBS_계획!$A:$O,7,FALSE()),AA$5&lt;=VLOOKUP($A35,WBS_계획!$A:$O,8,FALSE())),"■","")</f>
        <v/>
      </c>
      <c r="AB35" s="65" t="str">
        <f>IF(AND(AB$5&gt;=VLOOKUP($A35,WBS_계획!$A:$O,7,FALSE()),AB$5&lt;=VLOOKUP($A35,WBS_계획!$A:$O,8,FALSE())),"■","")</f>
        <v/>
      </c>
      <c r="AC35" s="66" t="str">
        <f>IF(AND(AC$5&gt;=VLOOKUP($A35,WBS_계획!$A:$O,7,FALSE()),AC$5&lt;=VLOOKUP($A35,WBS_계획!$A:$O,8,FALSE())),"■","")</f>
        <v/>
      </c>
    </row>
    <row r="36" spans="1:29" ht="27.95" customHeight="1">
      <c r="A36" s="18" t="s">
        <v>343</v>
      </c>
      <c r="B36" s="13" t="s">
        <v>321</v>
      </c>
      <c r="C36" s="57" t="str">
        <f>VLOOKUP($A36,WBS_계획!$A:$O,6,FALSE)</f>
        <v>김예은</v>
      </c>
      <c r="D36" s="20" t="str">
        <f>VLOOKUP($A36,WBS_계획!$A:$O,12,FALSE)</f>
        <v>완료</v>
      </c>
      <c r="E36" s="65" t="str">
        <f>IF(AND(E$5&gt;=VLOOKUP($A36,WBS_계획!$A:$O,7,FALSE()),E$5&lt;=VLOOKUP($A36,WBS_계획!$A:$O,8,FALSE())),"■","")</f>
        <v/>
      </c>
      <c r="F36" s="65" t="str">
        <f>IF(AND(F$5&gt;=VLOOKUP($A36,WBS_계획!$A:$O,7,FALSE()),F$5&lt;=VLOOKUP($A36,WBS_계획!$A:$O,8,FALSE())),"■","")</f>
        <v/>
      </c>
      <c r="G36" s="65" t="str">
        <f>IF(AND(G$5&gt;=VLOOKUP($A36,WBS_계획!$A:$O,7,FALSE()),G$5&lt;=VLOOKUP($A36,WBS_계획!$A:$O,8,FALSE())),"■","")</f>
        <v/>
      </c>
      <c r="H36" s="65" t="str">
        <f>IF(AND(H$5&gt;=VLOOKUP($A36,WBS_계획!$A:$O,7,FALSE()),H$5&lt;=VLOOKUP($A36,WBS_계획!$A:$O,8,FALSE())),"■","")</f>
        <v/>
      </c>
      <c r="I36" s="65" t="str">
        <f>IF(AND(I$5&gt;=VLOOKUP($A36,WBS_계획!$A:$O,7,FALSE()),I$5&lt;=VLOOKUP($A36,WBS_계획!$A:$O,8,FALSE())),"■","")</f>
        <v/>
      </c>
      <c r="J36" s="65" t="str">
        <f>IF(AND(J$5&gt;=VLOOKUP($A36,WBS_계획!$A:$O,7,FALSE()),J$5&lt;=VLOOKUP($A36,WBS_계획!$A:$O,8,FALSE())),"■","")</f>
        <v/>
      </c>
      <c r="K36" s="65" t="str">
        <f>IF(AND(K$5&gt;=VLOOKUP($A36,WBS_계획!$A:$O,7,FALSE()),K$5&lt;=VLOOKUP($A36,WBS_계획!$A:$O,8,FALSE())),"■","")</f>
        <v/>
      </c>
      <c r="L36" s="65" t="str">
        <f>IF(AND(L$5&gt;=VLOOKUP($A36,WBS_계획!$A:$O,7,FALSE()),L$5&lt;=VLOOKUP($A36,WBS_계획!$A:$O,8,FALSE())),"■","")</f>
        <v/>
      </c>
      <c r="M36" s="65" t="str">
        <f>IF(AND(M$5&gt;=VLOOKUP($A36,WBS_계획!$A:$O,7,FALSE()),M$5&lt;=VLOOKUP($A36,WBS_계획!$A:$O,8,FALSE())),"■","")</f>
        <v/>
      </c>
      <c r="N36" s="65" t="str">
        <f>IF(AND(N$5&gt;=VLOOKUP($A36,WBS_계획!$A:$O,7,FALSE()),N$5&lt;=VLOOKUP($A36,WBS_계획!$A:$O,8,FALSE())),"■","")</f>
        <v/>
      </c>
      <c r="O36" s="65" t="str">
        <f>IF(AND(O$5&gt;=VLOOKUP($A36,WBS_계획!$A:$O,7,FALSE()),O$5&lt;=VLOOKUP($A36,WBS_계획!$A:$O,8,FALSE())),"■","")</f>
        <v/>
      </c>
      <c r="P36" s="65" t="str">
        <f>IF(AND(P$5&gt;=VLOOKUP($A36,WBS_계획!$A:$O,7,FALSE()),P$5&lt;=VLOOKUP($A36,WBS_계획!$A:$O,8,FALSE())),"■","")</f>
        <v/>
      </c>
      <c r="Q36" s="65" t="str">
        <f>IF(AND(Q$5&gt;=VLOOKUP($A36,WBS_계획!$A:$O,7,FALSE()),Q$5&lt;=VLOOKUP($A36,WBS_계획!$A:$O,8,FALSE())),"■","")</f>
        <v/>
      </c>
      <c r="R36" s="65" t="str">
        <f>IF(AND(R$5&gt;=VLOOKUP($A36,WBS_계획!$A:$O,7,FALSE()),R$5&lt;=VLOOKUP($A36,WBS_계획!$A:$O,8,FALSE())),"■","")</f>
        <v/>
      </c>
      <c r="S36" s="65" t="str">
        <f>IF(AND(S$5&gt;=VLOOKUP($A36,WBS_계획!$A:$O,7,FALSE()),S$5&lt;=VLOOKUP($A36,WBS_계획!$A:$O,8,FALSE())),"■","")</f>
        <v/>
      </c>
      <c r="T36" s="65" t="str">
        <f>IF(AND(T$5&gt;=VLOOKUP($A36,WBS_계획!$A:$O,7,FALSE()),T$5&lt;=VLOOKUP($A36,WBS_계획!$A:$O,8,FALSE())),"■","")</f>
        <v>■</v>
      </c>
      <c r="U36" s="65" t="str">
        <f>IF(AND(U$5&gt;=VLOOKUP($A36,WBS_계획!$A:$O,7,FALSE()),U$5&lt;=VLOOKUP($A36,WBS_계획!$A:$O,8,FALSE())),"■","")</f>
        <v>■</v>
      </c>
      <c r="V36" s="65" t="str">
        <f>IF(AND(V$5&gt;=VLOOKUP($A36,WBS_계획!$A:$O,7,FALSE()),V$5&lt;=VLOOKUP($A36,WBS_계획!$A:$O,8,FALSE())),"■","")</f>
        <v/>
      </c>
      <c r="W36" s="65" t="str">
        <f>IF(AND(W$5&gt;=VLOOKUP($A36,WBS_계획!$A:$O,7,FALSE()),W$5&lt;=VLOOKUP($A36,WBS_계획!$A:$O,8,FALSE())),"■","")</f>
        <v/>
      </c>
      <c r="X36" s="66" t="str">
        <f>IF(AND(X$5&gt;=VLOOKUP($A36,WBS_계획!$A:$O,7,FALSE()),X$5&lt;=VLOOKUP($A36,WBS_계획!$A:$O,8,FALSE())),"■","")</f>
        <v/>
      </c>
      <c r="Y36" s="65" t="str">
        <f>IF(AND(Y$5&gt;=VLOOKUP($A36,WBS_계획!$A:$O,7,FALSE()),Y$5&lt;=VLOOKUP($A36,WBS_계획!$A:$O,8,FALSE())),"■","")</f>
        <v/>
      </c>
      <c r="Z36" s="65" t="str">
        <f>IF(AND(Z$5&gt;=VLOOKUP($A36,WBS_계획!$A:$O,7,FALSE()),Z$5&lt;=VLOOKUP($A36,WBS_계획!$A:$O,8,FALSE())),"■","")</f>
        <v/>
      </c>
      <c r="AA36" s="65" t="str">
        <f>IF(AND(AA$5&gt;=VLOOKUP($A36,WBS_계획!$A:$O,7,FALSE()),AA$5&lt;=VLOOKUP($A36,WBS_계획!$A:$O,8,FALSE())),"■","")</f>
        <v/>
      </c>
      <c r="AB36" s="65" t="str">
        <f>IF(AND(AB$5&gt;=VLOOKUP($A36,WBS_계획!$A:$O,7,FALSE()),AB$5&lt;=VLOOKUP($A36,WBS_계획!$A:$O,8,FALSE())),"■","")</f>
        <v/>
      </c>
      <c r="AC36" s="66" t="str">
        <f>IF(AND(AC$5&gt;=VLOOKUP($A36,WBS_계획!$A:$O,7,FALSE()),AC$5&lt;=VLOOKUP($A36,WBS_계획!$A:$O,8,FALSE())),"■","")</f>
        <v/>
      </c>
    </row>
    <row r="37" spans="1:29" ht="27.95" customHeight="1">
      <c r="A37" s="18" t="s">
        <v>366</v>
      </c>
      <c r="B37" s="13" t="s">
        <v>367</v>
      </c>
      <c r="C37" s="57" t="str">
        <f>VLOOKUP($A37,WBS_계획!$A:$O,6,FALSE)</f>
        <v>김예은</v>
      </c>
      <c r="D37" s="20" t="str">
        <f>VLOOKUP($A37,WBS_계획!$A:$O,12,FALSE)</f>
        <v>미착수</v>
      </c>
      <c r="E37" s="65" t="str">
        <f>IF(AND(E$5&gt;=VLOOKUP($A37,WBS_계획!$A:$O,7,FALSE()),E$5&lt;=VLOOKUP($A37,WBS_계획!$A:$O,8,FALSE())),"■","")</f>
        <v/>
      </c>
      <c r="F37" s="65" t="str">
        <f>IF(AND(F$5&gt;=VLOOKUP($A37,WBS_계획!$A:$O,7,FALSE()),F$5&lt;=VLOOKUP($A37,WBS_계획!$A:$O,8,FALSE())),"■","")</f>
        <v/>
      </c>
      <c r="G37" s="65" t="str">
        <f>IF(AND(G$5&gt;=VLOOKUP($A37,WBS_계획!$A:$O,7,FALSE()),G$5&lt;=VLOOKUP($A37,WBS_계획!$A:$O,8,FALSE())),"■","")</f>
        <v/>
      </c>
      <c r="H37" s="65" t="str">
        <f>IF(AND(H$5&gt;=VLOOKUP($A37,WBS_계획!$A:$O,7,FALSE()),H$5&lt;=VLOOKUP($A37,WBS_계획!$A:$O,8,FALSE())),"■","")</f>
        <v/>
      </c>
      <c r="I37" s="65" t="str">
        <f>IF(AND(I$5&gt;=VLOOKUP($A37,WBS_계획!$A:$O,7,FALSE()),I$5&lt;=VLOOKUP($A37,WBS_계획!$A:$O,8,FALSE())),"■","")</f>
        <v/>
      </c>
      <c r="J37" s="65" t="str">
        <f>IF(AND(J$5&gt;=VLOOKUP($A37,WBS_계획!$A:$O,7,FALSE()),J$5&lt;=VLOOKUP($A37,WBS_계획!$A:$O,8,FALSE())),"■","")</f>
        <v/>
      </c>
      <c r="K37" s="65" t="str">
        <f>IF(AND(K$5&gt;=VLOOKUP($A37,WBS_계획!$A:$O,7,FALSE()),K$5&lt;=VLOOKUP($A37,WBS_계획!$A:$O,8,FALSE())),"■","")</f>
        <v/>
      </c>
      <c r="L37" s="65" t="str">
        <f>IF(AND(L$5&gt;=VLOOKUP($A37,WBS_계획!$A:$O,7,FALSE()),L$5&lt;=VLOOKUP($A37,WBS_계획!$A:$O,8,FALSE())),"■","")</f>
        <v/>
      </c>
      <c r="M37" s="65" t="str">
        <f>IF(AND(M$5&gt;=VLOOKUP($A37,WBS_계획!$A:$O,7,FALSE()),M$5&lt;=VLOOKUP($A37,WBS_계획!$A:$O,8,FALSE())),"■","")</f>
        <v/>
      </c>
      <c r="N37" s="65" t="str">
        <f>IF(AND(N$5&gt;=VLOOKUP($A37,WBS_계획!$A:$O,7,FALSE()),N$5&lt;=VLOOKUP($A37,WBS_계획!$A:$O,8,FALSE())),"■","")</f>
        <v/>
      </c>
      <c r="O37" s="65" t="str">
        <f>IF(AND(O$5&gt;=VLOOKUP($A37,WBS_계획!$A:$O,7,FALSE()),O$5&lt;=VLOOKUP($A37,WBS_계획!$A:$O,8,FALSE())),"■","")</f>
        <v/>
      </c>
      <c r="P37" s="65" t="str">
        <f>IF(AND(P$5&gt;=VLOOKUP($A37,WBS_계획!$A:$O,7,FALSE()),P$5&lt;=VLOOKUP($A37,WBS_계획!$A:$O,8,FALSE())),"■","")</f>
        <v/>
      </c>
      <c r="Q37" s="65" t="str">
        <f>IF(AND(Q$5&gt;=VLOOKUP($A37,WBS_계획!$A:$O,7,FALSE()),Q$5&lt;=VLOOKUP($A37,WBS_계획!$A:$O,8,FALSE())),"■","")</f>
        <v/>
      </c>
      <c r="R37" s="65" t="str">
        <f>IF(AND(R$5&gt;=VLOOKUP($A37,WBS_계획!$A:$O,7,FALSE()),R$5&lt;=VLOOKUP($A37,WBS_계획!$A:$O,8,FALSE())),"■","")</f>
        <v/>
      </c>
      <c r="S37" s="65" t="str">
        <f>IF(AND(S$5&gt;=VLOOKUP($A37,WBS_계획!$A:$O,7,FALSE()),S$5&lt;=VLOOKUP($A37,WBS_계획!$A:$O,8,FALSE())),"■","")</f>
        <v/>
      </c>
      <c r="T37" s="65" t="str">
        <f>IF(AND(T$5&gt;=VLOOKUP($A37,WBS_계획!$A:$O,7,FALSE()),T$5&lt;=VLOOKUP($A37,WBS_계획!$A:$O,8,FALSE())),"■","")</f>
        <v/>
      </c>
      <c r="U37" s="65" t="str">
        <f>IF(AND(U$5&gt;=VLOOKUP($A37,WBS_계획!$A:$O,7,FALSE()),U$5&lt;=VLOOKUP($A37,WBS_계획!$A:$O,8,FALSE())),"■","")</f>
        <v/>
      </c>
      <c r="V37" s="65" t="str">
        <f>IF(AND(V$5&gt;=VLOOKUP($A37,WBS_계획!$A:$O,7,FALSE()),V$5&lt;=VLOOKUP($A37,WBS_계획!$A:$O,8,FALSE())),"■","")</f>
        <v/>
      </c>
      <c r="W37" s="65" t="str">
        <f>IF(AND(W$5&gt;=VLOOKUP($A37,WBS_계획!$A:$O,7,FALSE()),W$5&lt;=VLOOKUP($A37,WBS_계획!$A:$O,8,FALSE())),"■","")</f>
        <v/>
      </c>
      <c r="X37" s="66" t="str">
        <f>IF(AND(X$5&gt;=VLOOKUP($A37,WBS_계획!$A:$O,7,FALSE()),X$5&lt;=VLOOKUP($A37,WBS_계획!$A:$O,8,FALSE())),"■","")</f>
        <v/>
      </c>
      <c r="Y37" s="65" t="str">
        <f>IF(AND(Y$5&gt;=VLOOKUP($A37,WBS_계획!$A:$O,7,FALSE()),Y$5&lt;=VLOOKUP($A37,WBS_계획!$A:$O,8,FALSE())),"■","")</f>
        <v/>
      </c>
      <c r="Z37" s="65" t="str">
        <f>IF(AND(Z$5&gt;=VLOOKUP($A37,WBS_계획!$A:$O,7,FALSE()),Z$5&lt;=VLOOKUP($A37,WBS_계획!$A:$O,8,FALSE())),"■","")</f>
        <v/>
      </c>
      <c r="AA37" s="65" t="str">
        <f>IF(AND(AA$5&gt;=VLOOKUP($A37,WBS_계획!$A:$O,7,FALSE()),AA$5&lt;=VLOOKUP($A37,WBS_계획!$A:$O,8,FALSE())),"■","")</f>
        <v/>
      </c>
      <c r="AB37" s="65" t="str">
        <f>IF(AND(AB$5&gt;=VLOOKUP($A37,WBS_계획!$A:$O,7,FALSE()),AB$5&lt;=VLOOKUP($A37,WBS_계획!$A:$O,8,FALSE())),"■","")</f>
        <v/>
      </c>
      <c r="AC37" s="66" t="str">
        <f>IF(AND(AC$5&gt;=VLOOKUP($A37,WBS_계획!$A:$O,7,FALSE()),AC$5&lt;=VLOOKUP($A37,WBS_계획!$A:$O,8,FALSE())),"■","")</f>
        <v/>
      </c>
    </row>
    <row r="38" spans="1:29" ht="27.95" customHeight="1">
      <c r="A38" s="18" t="s">
        <v>279</v>
      </c>
      <c r="B38" s="13" t="s">
        <v>365</v>
      </c>
      <c r="C38" s="57" t="str">
        <f>VLOOKUP($A38,WBS_계획!$A:$O,6,FALSE)</f>
        <v>강유나</v>
      </c>
      <c r="D38" s="20" t="str">
        <f>VLOOKUP($A38,WBS_계획!$A:$O,12,FALSE)</f>
        <v>미착수</v>
      </c>
      <c r="E38" s="65" t="str">
        <f>IF(AND(E$5&gt;=VLOOKUP($A38,WBS_계획!$A:$O,7,FALSE()),E$5&lt;=VLOOKUP($A38,WBS_계획!$A:$O,8,FALSE())),"■","")</f>
        <v/>
      </c>
      <c r="F38" s="65" t="str">
        <f>IF(AND(F$5&gt;=VLOOKUP($A38,WBS_계획!$A:$O,7,FALSE()),F$5&lt;=VLOOKUP($A38,WBS_계획!$A:$O,8,FALSE())),"■","")</f>
        <v/>
      </c>
      <c r="G38" s="65" t="str">
        <f>IF(AND(G$5&gt;=VLOOKUP($A38,WBS_계획!$A:$O,7,FALSE()),G$5&lt;=VLOOKUP($A38,WBS_계획!$A:$O,8,FALSE())),"■","")</f>
        <v/>
      </c>
      <c r="H38" s="65" t="str">
        <f>IF(AND(H$5&gt;=VLOOKUP($A38,WBS_계획!$A:$O,7,FALSE()),H$5&lt;=VLOOKUP($A38,WBS_계획!$A:$O,8,FALSE())),"■","")</f>
        <v/>
      </c>
      <c r="I38" s="65" t="str">
        <f>IF(AND(I$5&gt;=VLOOKUP($A38,WBS_계획!$A:$O,7,FALSE()),I$5&lt;=VLOOKUP($A38,WBS_계획!$A:$O,8,FALSE())),"■","")</f>
        <v/>
      </c>
      <c r="J38" s="65" t="str">
        <f>IF(AND(J$5&gt;=VLOOKUP($A38,WBS_계획!$A:$O,7,FALSE()),J$5&lt;=VLOOKUP($A38,WBS_계획!$A:$O,8,FALSE())),"■","")</f>
        <v/>
      </c>
      <c r="K38" s="65" t="str">
        <f>IF(AND(K$5&gt;=VLOOKUP($A38,WBS_계획!$A:$O,7,FALSE()),K$5&lt;=VLOOKUP($A38,WBS_계획!$A:$O,8,FALSE())),"■","")</f>
        <v/>
      </c>
      <c r="L38" s="65" t="str">
        <f>IF(AND(L$5&gt;=VLOOKUP($A38,WBS_계획!$A:$O,7,FALSE()),L$5&lt;=VLOOKUP($A38,WBS_계획!$A:$O,8,FALSE())),"■","")</f>
        <v/>
      </c>
      <c r="M38" s="65" t="str">
        <f>IF(AND(M$5&gt;=VLOOKUP($A38,WBS_계획!$A:$O,7,FALSE()),M$5&lt;=VLOOKUP($A38,WBS_계획!$A:$O,8,FALSE())),"■","")</f>
        <v/>
      </c>
      <c r="N38" s="65" t="str">
        <f>IF(AND(N$5&gt;=VLOOKUP($A38,WBS_계획!$A:$O,7,FALSE()),N$5&lt;=VLOOKUP($A38,WBS_계획!$A:$O,8,FALSE())),"■","")</f>
        <v/>
      </c>
      <c r="O38" s="65" t="str">
        <f>IF(AND(O$5&gt;=VLOOKUP($A38,WBS_계획!$A:$O,7,FALSE()),O$5&lt;=VLOOKUP($A38,WBS_계획!$A:$O,8,FALSE())),"■","")</f>
        <v/>
      </c>
      <c r="P38" s="65" t="str">
        <f>IF(AND(P$5&gt;=VLOOKUP($A38,WBS_계획!$A:$O,7,FALSE()),P$5&lt;=VLOOKUP($A38,WBS_계획!$A:$O,8,FALSE())),"■","")</f>
        <v/>
      </c>
      <c r="Q38" s="65" t="str">
        <f>IF(AND(Q$5&gt;=VLOOKUP($A38,WBS_계획!$A:$O,7,FALSE()),Q$5&lt;=VLOOKUP($A38,WBS_계획!$A:$O,8,FALSE())),"■","")</f>
        <v/>
      </c>
      <c r="R38" s="65" t="str">
        <f>IF(AND(R$5&gt;=VLOOKUP($A38,WBS_계획!$A:$O,7,FALSE()),R$5&lt;=VLOOKUP($A38,WBS_계획!$A:$O,8,FALSE())),"■","")</f>
        <v/>
      </c>
      <c r="S38" s="65" t="str">
        <f>IF(AND(S$5&gt;=VLOOKUP($A38,WBS_계획!$A:$O,7,FALSE()),S$5&lt;=VLOOKUP($A38,WBS_계획!$A:$O,8,FALSE())),"■","")</f>
        <v/>
      </c>
      <c r="T38" s="65" t="str">
        <f>IF(AND(T$5&gt;=VLOOKUP($A38,WBS_계획!$A:$O,7,FALSE()),T$5&lt;=VLOOKUP($A38,WBS_계획!$A:$O,8,FALSE())),"■","")</f>
        <v/>
      </c>
      <c r="U38" s="65" t="str">
        <f>IF(AND(U$5&gt;=VLOOKUP($A38,WBS_계획!$A:$O,7,FALSE()),U$5&lt;=VLOOKUP($A38,WBS_계획!$A:$O,8,FALSE())),"■","")</f>
        <v/>
      </c>
      <c r="V38" s="65" t="str">
        <f>IF(AND(V$5&gt;=VLOOKUP($A38,WBS_계획!$A:$O,7,FALSE()),V$5&lt;=VLOOKUP($A38,WBS_계획!$A:$O,8,FALSE())),"■","")</f>
        <v/>
      </c>
      <c r="W38" s="65" t="str">
        <f>IF(AND(W$5&gt;=VLOOKUP($A38,WBS_계획!$A:$O,7,FALSE()),W$5&lt;=VLOOKUP($A38,WBS_계획!$A:$O,8,FALSE())),"■","")</f>
        <v/>
      </c>
      <c r="X38" s="66" t="str">
        <f>IF(AND(X$5&gt;=VLOOKUP($A38,WBS_계획!$A:$O,7,FALSE()),X$5&lt;=VLOOKUP($A38,WBS_계획!$A:$O,8,FALSE())),"■","")</f>
        <v/>
      </c>
      <c r="Y38" s="65" t="str">
        <f>IF(AND(Y$5&gt;=VLOOKUP($A38,WBS_계획!$A:$O,7,FALSE()),Y$5&lt;=VLOOKUP($A38,WBS_계획!$A:$O,8,FALSE())),"■","")</f>
        <v/>
      </c>
      <c r="Z38" s="65" t="str">
        <f>IF(AND(Z$5&gt;=VLOOKUP($A38,WBS_계획!$A:$O,7,FALSE()),Z$5&lt;=VLOOKUP($A38,WBS_계획!$A:$O,8,FALSE())),"■","")</f>
        <v/>
      </c>
      <c r="AA38" s="65" t="str">
        <f>IF(AND(AA$5&gt;=VLOOKUP($A38,WBS_계획!$A:$O,7,FALSE()),AA$5&lt;=VLOOKUP($A38,WBS_계획!$A:$O,8,FALSE())),"■","")</f>
        <v/>
      </c>
      <c r="AB38" s="65" t="str">
        <f>IF(AND(AB$5&gt;=VLOOKUP($A38,WBS_계획!$A:$O,7,FALSE()),AB$5&lt;=VLOOKUP($A38,WBS_계획!$A:$O,8,FALSE())),"■","")</f>
        <v/>
      </c>
      <c r="AC38" s="66" t="str">
        <f>IF(AND(AC$5&gt;=VLOOKUP($A38,WBS_계획!$A:$O,7,FALSE()),AC$5&lt;=VLOOKUP($A38,WBS_계획!$A:$O,8,FALSE())),"■","")</f>
        <v/>
      </c>
    </row>
    <row r="39" spans="1:29" ht="27.95" customHeight="1">
      <c r="A39" s="18" t="s">
        <v>368</v>
      </c>
      <c r="B39" s="13" t="s">
        <v>172</v>
      </c>
      <c r="C39" s="57" t="str">
        <f>VLOOKUP($A39,WBS_계획!$A:$O,6,FALSE)</f>
        <v>강유나</v>
      </c>
      <c r="D39" s="20" t="str">
        <f>VLOOKUP($A39,WBS_계획!$A:$O,12,FALSE)</f>
        <v>미착수</v>
      </c>
      <c r="E39" s="65" t="str">
        <f>IF(AND(E$5&gt;=VLOOKUP($A39,WBS_계획!$A:$O,7,FALSE()),E$5&lt;=VLOOKUP($A39,WBS_계획!$A:$O,8,FALSE())),"■","")</f>
        <v/>
      </c>
      <c r="F39" s="65" t="str">
        <f>IF(AND(F$5&gt;=VLOOKUP($A39,WBS_계획!$A:$O,7,FALSE()),F$5&lt;=VLOOKUP($A39,WBS_계획!$A:$O,8,FALSE())),"■","")</f>
        <v/>
      </c>
      <c r="G39" s="65" t="str">
        <f>IF(AND(G$5&gt;=VLOOKUP($A39,WBS_계획!$A:$O,7,FALSE()),G$5&lt;=VLOOKUP($A39,WBS_계획!$A:$O,8,FALSE())),"■","")</f>
        <v/>
      </c>
      <c r="H39" s="65" t="str">
        <f>IF(AND(H$5&gt;=VLOOKUP($A39,WBS_계획!$A:$O,7,FALSE()),H$5&lt;=VLOOKUP($A39,WBS_계획!$A:$O,8,FALSE())),"■","")</f>
        <v/>
      </c>
      <c r="I39" s="65" t="str">
        <f>IF(AND(I$5&gt;=VLOOKUP($A39,WBS_계획!$A:$O,7,FALSE()),I$5&lt;=VLOOKUP($A39,WBS_계획!$A:$O,8,FALSE())),"■","")</f>
        <v/>
      </c>
      <c r="J39" s="65" t="str">
        <f>IF(AND(J$5&gt;=VLOOKUP($A39,WBS_계획!$A:$O,7,FALSE()),J$5&lt;=VLOOKUP($A39,WBS_계획!$A:$O,8,FALSE())),"■","")</f>
        <v/>
      </c>
      <c r="K39" s="65" t="str">
        <f>IF(AND(K$5&gt;=VLOOKUP($A39,WBS_계획!$A:$O,7,FALSE()),K$5&lt;=VLOOKUP($A39,WBS_계획!$A:$O,8,FALSE())),"■","")</f>
        <v/>
      </c>
      <c r="L39" s="65" t="str">
        <f>IF(AND(L$5&gt;=VLOOKUP($A39,WBS_계획!$A:$O,7,FALSE()),L$5&lt;=VLOOKUP($A39,WBS_계획!$A:$O,8,FALSE())),"■","")</f>
        <v/>
      </c>
      <c r="M39" s="65" t="str">
        <f>IF(AND(M$5&gt;=VLOOKUP($A39,WBS_계획!$A:$O,7,FALSE()),M$5&lt;=VLOOKUP($A39,WBS_계획!$A:$O,8,FALSE())),"■","")</f>
        <v/>
      </c>
      <c r="N39" s="65" t="str">
        <f>IF(AND(N$5&gt;=VLOOKUP($A39,WBS_계획!$A:$O,7,FALSE()),N$5&lt;=VLOOKUP($A39,WBS_계획!$A:$O,8,FALSE())),"■","")</f>
        <v/>
      </c>
      <c r="O39" s="65" t="str">
        <f>IF(AND(O$5&gt;=VLOOKUP($A39,WBS_계획!$A:$O,7,FALSE()),O$5&lt;=VLOOKUP($A39,WBS_계획!$A:$O,8,FALSE())),"■","")</f>
        <v/>
      </c>
      <c r="P39" s="65" t="str">
        <f>IF(AND(P$5&gt;=VLOOKUP($A39,WBS_계획!$A:$O,7,FALSE()),P$5&lt;=VLOOKUP($A39,WBS_계획!$A:$O,8,FALSE())),"■","")</f>
        <v/>
      </c>
      <c r="Q39" s="65" t="str">
        <f>IF(AND(Q$5&gt;=VLOOKUP($A39,WBS_계획!$A:$O,7,FALSE()),Q$5&lt;=VLOOKUP($A39,WBS_계획!$A:$O,8,FALSE())),"■","")</f>
        <v/>
      </c>
      <c r="R39" s="65" t="str">
        <f>IF(AND(R$5&gt;=VLOOKUP($A39,WBS_계획!$A:$O,7,FALSE()),R$5&lt;=VLOOKUP($A39,WBS_계획!$A:$O,8,FALSE())),"■","")</f>
        <v/>
      </c>
      <c r="S39" s="65" t="str">
        <f>IF(AND(S$5&gt;=VLOOKUP($A39,WBS_계획!$A:$O,7,FALSE()),S$5&lt;=VLOOKUP($A39,WBS_계획!$A:$O,8,FALSE())),"■","")</f>
        <v/>
      </c>
      <c r="T39" s="65" t="str">
        <f>IF(AND(T$5&gt;=VLOOKUP($A39,WBS_계획!$A:$O,7,FALSE()),T$5&lt;=VLOOKUP($A39,WBS_계획!$A:$O,8,FALSE())),"■","")</f>
        <v/>
      </c>
      <c r="U39" s="65" t="str">
        <f>IF(AND(U$5&gt;=VLOOKUP($A39,WBS_계획!$A:$O,7,FALSE()),U$5&lt;=VLOOKUP($A39,WBS_계획!$A:$O,8,FALSE())),"■","")</f>
        <v/>
      </c>
      <c r="V39" s="65" t="str">
        <f>IF(AND(V$5&gt;=VLOOKUP($A39,WBS_계획!$A:$O,7,FALSE()),V$5&lt;=VLOOKUP($A39,WBS_계획!$A:$O,8,FALSE())),"■","")</f>
        <v>■</v>
      </c>
      <c r="W39" s="65" t="str">
        <f>IF(AND(W$5&gt;=VLOOKUP($A39,WBS_계획!$A:$O,7,FALSE()),W$5&lt;=VLOOKUP($A39,WBS_계획!$A:$O,8,FALSE())),"■","")</f>
        <v/>
      </c>
      <c r="X39" s="66" t="str">
        <f>IF(AND(X$5&gt;=VLOOKUP($A39,WBS_계획!$A:$O,7,FALSE()),X$5&lt;=VLOOKUP($A39,WBS_계획!$A:$O,8,FALSE())),"■","")</f>
        <v/>
      </c>
      <c r="Y39" s="65" t="str">
        <f>IF(AND(Y$5&gt;=VLOOKUP($A39,WBS_계획!$A:$O,7,FALSE()),Y$5&lt;=VLOOKUP($A39,WBS_계획!$A:$O,8,FALSE())),"■","")</f>
        <v/>
      </c>
      <c r="Z39" s="65" t="str">
        <f>IF(AND(Z$5&gt;=VLOOKUP($A39,WBS_계획!$A:$O,7,FALSE()),Z$5&lt;=VLOOKUP($A39,WBS_계획!$A:$O,8,FALSE())),"■","")</f>
        <v/>
      </c>
      <c r="AA39" s="65" t="str">
        <f>IF(AND(AA$5&gt;=VLOOKUP($A39,WBS_계획!$A:$O,7,FALSE()),AA$5&lt;=VLOOKUP($A39,WBS_계획!$A:$O,8,FALSE())),"■","")</f>
        <v/>
      </c>
      <c r="AB39" s="65" t="str">
        <f>IF(AND(AB$5&gt;=VLOOKUP($A39,WBS_계획!$A:$O,7,FALSE()),AB$5&lt;=VLOOKUP($A39,WBS_계획!$A:$O,8,FALSE())),"■","")</f>
        <v/>
      </c>
      <c r="AC39" s="66" t="str">
        <f>IF(AND(AC$5&gt;=VLOOKUP($A39,WBS_계획!$A:$O,7,FALSE()),AC$5&lt;=VLOOKUP($A39,WBS_계획!$A:$O,8,FALSE())),"■","")</f>
        <v/>
      </c>
    </row>
    <row r="40" spans="1:29" ht="27.95" customHeight="1">
      <c r="A40" s="19" t="s">
        <v>369</v>
      </c>
      <c r="B40" s="14" t="s">
        <v>370</v>
      </c>
      <c r="C40" s="57" t="str">
        <f>VLOOKUP($A40,WBS_계획!$A:$O,6,FALSE)</f>
        <v>강유나</v>
      </c>
      <c r="D40" s="20" t="str">
        <f>VLOOKUP($A40,WBS_계획!$A:$O,12,FALSE)</f>
        <v>미착수</v>
      </c>
      <c r="E40" s="67" t="str">
        <f>IF(AND(E$5&gt;=VLOOKUP($A40,WBS_계획!$A:$O,7,FALSE()),E$5&lt;=VLOOKUP($A40,WBS_계획!$A:$O,8,FALSE())),"■","")</f>
        <v/>
      </c>
      <c r="F40" s="67" t="str">
        <f>IF(AND(F$5&gt;=VLOOKUP($A40,WBS_계획!$A:$O,7,FALSE()),F$5&lt;=VLOOKUP($A40,WBS_계획!$A:$O,8,FALSE())),"■","")</f>
        <v/>
      </c>
      <c r="G40" s="67" t="str">
        <f>IF(AND(G$5&gt;=VLOOKUP($A40,WBS_계획!$A:$O,7,FALSE()),G$5&lt;=VLOOKUP($A40,WBS_계획!$A:$O,8,FALSE())),"■","")</f>
        <v/>
      </c>
      <c r="H40" s="67" t="str">
        <f>IF(AND(H$5&gt;=VLOOKUP($A40,WBS_계획!$A:$O,7,FALSE()),H$5&lt;=VLOOKUP($A40,WBS_계획!$A:$O,8,FALSE())),"■","")</f>
        <v/>
      </c>
      <c r="I40" s="67" t="str">
        <f>IF(AND(I$5&gt;=VLOOKUP($A40,WBS_계획!$A:$O,7,FALSE()),I$5&lt;=VLOOKUP($A40,WBS_계획!$A:$O,8,FALSE())),"■","")</f>
        <v/>
      </c>
      <c r="J40" s="67" t="str">
        <f>IF(AND(J$5&gt;=VLOOKUP($A40,WBS_계획!$A:$O,7,FALSE()),J$5&lt;=VLOOKUP($A40,WBS_계획!$A:$O,8,FALSE())),"■","")</f>
        <v/>
      </c>
      <c r="K40" s="67" t="str">
        <f>IF(AND(K$5&gt;=VLOOKUP($A40,WBS_계획!$A:$O,7,FALSE()),K$5&lt;=VLOOKUP($A40,WBS_계획!$A:$O,8,FALSE())),"■","")</f>
        <v/>
      </c>
      <c r="L40" s="67" t="str">
        <f>IF(AND(L$5&gt;=VLOOKUP($A40,WBS_계획!$A:$O,7,FALSE()),L$5&lt;=VLOOKUP($A40,WBS_계획!$A:$O,8,FALSE())),"■","")</f>
        <v/>
      </c>
      <c r="M40" s="67" t="str">
        <f>IF(AND(M$5&gt;=VLOOKUP($A40,WBS_계획!$A:$O,7,FALSE()),M$5&lt;=VLOOKUP($A40,WBS_계획!$A:$O,8,FALSE())),"■","")</f>
        <v/>
      </c>
      <c r="N40" s="67" t="str">
        <f>IF(AND(N$5&gt;=VLOOKUP($A40,WBS_계획!$A:$O,7,FALSE()),N$5&lt;=VLOOKUP($A40,WBS_계획!$A:$O,8,FALSE())),"■","")</f>
        <v/>
      </c>
      <c r="O40" s="67" t="str">
        <f>IF(AND(O$5&gt;=VLOOKUP($A40,WBS_계획!$A:$O,7,FALSE()),O$5&lt;=VLOOKUP($A40,WBS_계획!$A:$O,8,FALSE())),"■","")</f>
        <v/>
      </c>
      <c r="P40" s="67" t="str">
        <f>IF(AND(P$5&gt;=VLOOKUP($A40,WBS_계획!$A:$O,7,FALSE()),P$5&lt;=VLOOKUP($A40,WBS_계획!$A:$O,8,FALSE())),"■","")</f>
        <v/>
      </c>
      <c r="Q40" s="67" t="str">
        <f>IF(AND(Q$5&gt;=VLOOKUP($A40,WBS_계획!$A:$O,7,FALSE()),Q$5&lt;=VLOOKUP($A40,WBS_계획!$A:$O,8,FALSE())),"■","")</f>
        <v/>
      </c>
      <c r="R40" s="67" t="str">
        <f>IF(AND(R$5&gt;=VLOOKUP($A40,WBS_계획!$A:$O,7,FALSE()),R$5&lt;=VLOOKUP($A40,WBS_계획!$A:$O,8,FALSE())),"■","")</f>
        <v/>
      </c>
      <c r="S40" s="67" t="str">
        <f>IF(AND(S$5&gt;=VLOOKUP($A40,WBS_계획!$A:$O,7,FALSE()),S$5&lt;=VLOOKUP($A40,WBS_계획!$A:$O,8,FALSE())),"■","")</f>
        <v/>
      </c>
      <c r="T40" s="67" t="str">
        <f>IF(AND(T$5&gt;=VLOOKUP($A40,WBS_계획!$A:$O,7,FALSE()),T$5&lt;=VLOOKUP($A40,WBS_계획!$A:$O,8,FALSE())),"■","")</f>
        <v/>
      </c>
      <c r="U40" s="67" t="str">
        <f>IF(AND(U$5&gt;=VLOOKUP($A40,WBS_계획!$A:$O,7,FALSE()),U$5&lt;=VLOOKUP($A40,WBS_계획!$A:$O,8,FALSE())),"■","")</f>
        <v/>
      </c>
      <c r="V40" s="67" t="str">
        <f>IF(AND(V$5&gt;=VLOOKUP($A40,WBS_계획!$A:$O,7,FALSE()),V$5&lt;=VLOOKUP($A40,WBS_계획!$A:$O,8,FALSE())),"■","")</f>
        <v/>
      </c>
      <c r="W40" s="67" t="str">
        <f>IF(AND(W$5&gt;=VLOOKUP($A40,WBS_계획!$A:$O,7,FALSE()),W$5&lt;=VLOOKUP($A40,WBS_계획!$A:$O,8,FALSE())),"■","")</f>
        <v/>
      </c>
      <c r="X40" s="68" t="str">
        <f>IF(AND(X$5&gt;=VLOOKUP($A40,WBS_계획!$A:$O,7,FALSE()),X$5&lt;=VLOOKUP($A40,WBS_계획!$A:$O,8,FALSE())),"■","")</f>
        <v/>
      </c>
      <c r="Y40" s="67" t="str">
        <f>IF(AND(Y$5&gt;=VLOOKUP($A40,WBS_계획!$A:$O,7,FALSE()),Y$5&lt;=VLOOKUP($A40,WBS_계획!$A:$O,8,FALSE())),"■","")</f>
        <v/>
      </c>
      <c r="Z40" s="67" t="str">
        <f>IF(AND(Z$5&gt;=VLOOKUP($A40,WBS_계획!$A:$O,7,FALSE()),Z$5&lt;=VLOOKUP($A40,WBS_계획!$A:$O,8,FALSE())),"■","")</f>
        <v/>
      </c>
      <c r="AA40" s="67" t="str">
        <f>IF(AND(AA$5&gt;=VLOOKUP($A40,WBS_계획!$A:$O,7,FALSE()),AA$5&lt;=VLOOKUP($A40,WBS_계획!$A:$O,8,FALSE())),"■","")</f>
        <v/>
      </c>
      <c r="AB40" s="67" t="str">
        <f>IF(AND(AB$5&gt;=VLOOKUP($A40,WBS_계획!$A:$O,7,FALSE()),AB$5&lt;=VLOOKUP($A40,WBS_계획!$A:$O,8,FALSE())),"■","")</f>
        <v/>
      </c>
      <c r="AC40" s="68" t="str">
        <f>IF(AND(AC$5&gt;=VLOOKUP($A40,WBS_계획!$A:$O,7,FALSE()),AC$5&lt;=VLOOKUP($A40,WBS_계획!$A:$O,8,FALSE())),"■","")</f>
        <v/>
      </c>
    </row>
    <row r="41" spans="1:29" ht="27.95" customHeight="1">
      <c r="A41" s="19" t="s">
        <v>371</v>
      </c>
      <c r="B41" s="14" t="s">
        <v>327</v>
      </c>
      <c r="C41" s="57" t="str">
        <f>VLOOKUP($A41,WBS_계획!$A:$O,6,FALSE)</f>
        <v>공동</v>
      </c>
      <c r="D41" s="20" t="str">
        <f>VLOOKUP($A41,WBS_계획!$A:$O,12,FALSE)</f>
        <v>완료</v>
      </c>
      <c r="E41" s="67" t="str">
        <f>IF(AND(E$5&gt;=VLOOKUP($A41,WBS_계획!$A:$O,7,FALSE()),E$5&lt;=VLOOKUP($A41,WBS_계획!$A:$O,8,FALSE())),"■","")</f>
        <v/>
      </c>
      <c r="F41" s="67" t="str">
        <f>IF(AND(F$5&gt;=VLOOKUP($A41,WBS_계획!$A:$O,7,FALSE()),F$5&lt;=VLOOKUP($A41,WBS_계획!$A:$O,8,FALSE())),"■","")</f>
        <v/>
      </c>
      <c r="G41" s="67" t="str">
        <f>IF(AND(G$5&gt;=VLOOKUP($A41,WBS_계획!$A:$O,7,FALSE()),G$5&lt;=VLOOKUP($A41,WBS_계획!$A:$O,8,FALSE())),"■","")</f>
        <v/>
      </c>
      <c r="H41" s="67" t="str">
        <f>IF(AND(H$5&gt;=VLOOKUP($A41,WBS_계획!$A:$O,7,FALSE()),H$5&lt;=VLOOKUP($A41,WBS_계획!$A:$O,8,FALSE())),"■","")</f>
        <v/>
      </c>
      <c r="I41" s="67" t="str">
        <f>IF(AND(I$5&gt;=VLOOKUP($A41,WBS_계획!$A:$O,7,FALSE()),I$5&lt;=VLOOKUP($A41,WBS_계획!$A:$O,8,FALSE())),"■","")</f>
        <v/>
      </c>
      <c r="J41" s="67" t="str">
        <f>IF(AND(J$5&gt;=VLOOKUP($A41,WBS_계획!$A:$O,7,FALSE()),J$5&lt;=VLOOKUP($A41,WBS_계획!$A:$O,8,FALSE())),"■","")</f>
        <v/>
      </c>
      <c r="K41" s="67" t="str">
        <f>IF(AND(K$5&gt;=VLOOKUP($A41,WBS_계획!$A:$O,7,FALSE()),K$5&lt;=VLOOKUP($A41,WBS_계획!$A:$O,8,FALSE())),"■","")</f>
        <v/>
      </c>
      <c r="L41" s="67" t="str">
        <f>IF(AND(L$5&gt;=VLOOKUP($A41,WBS_계획!$A:$O,7,FALSE()),L$5&lt;=VLOOKUP($A41,WBS_계획!$A:$O,8,FALSE())),"■","")</f>
        <v/>
      </c>
      <c r="M41" s="67" t="str">
        <f>IF(AND(M$5&gt;=VLOOKUP($A41,WBS_계획!$A:$O,7,FALSE()),M$5&lt;=VLOOKUP($A41,WBS_계획!$A:$O,8,FALSE())),"■","")</f>
        <v/>
      </c>
      <c r="N41" s="67" t="str">
        <f>IF(AND(N$5&gt;=VLOOKUP($A41,WBS_계획!$A:$O,7,FALSE()),N$5&lt;=VLOOKUP($A41,WBS_계획!$A:$O,8,FALSE())),"■","")</f>
        <v/>
      </c>
      <c r="O41" s="67" t="str">
        <f>IF(AND(O$5&gt;=VLOOKUP($A41,WBS_계획!$A:$O,7,FALSE()),O$5&lt;=VLOOKUP($A41,WBS_계획!$A:$O,8,FALSE())),"■","")</f>
        <v/>
      </c>
      <c r="P41" s="67" t="str">
        <f>IF(AND(P$5&gt;=VLOOKUP($A41,WBS_계획!$A:$O,7,FALSE()),P$5&lt;=VLOOKUP($A41,WBS_계획!$A:$O,8,FALSE())),"■","")</f>
        <v/>
      </c>
      <c r="Q41" s="67" t="str">
        <f>IF(AND(Q$5&gt;=VLOOKUP($A41,WBS_계획!$A:$O,7,FALSE()),Q$5&lt;=VLOOKUP($A41,WBS_계획!$A:$O,8,FALSE())),"■","")</f>
        <v/>
      </c>
      <c r="R41" s="67" t="str">
        <f>IF(AND(R$5&gt;=VLOOKUP($A41,WBS_계획!$A:$O,7,FALSE()),R$5&lt;=VLOOKUP($A41,WBS_계획!$A:$O,8,FALSE())),"■","")</f>
        <v/>
      </c>
      <c r="S41" s="67" t="str">
        <f>IF(AND(S$5&gt;=VLOOKUP($A41,WBS_계획!$A:$O,7,FALSE()),S$5&lt;=VLOOKUP($A41,WBS_계획!$A:$O,8,FALSE())),"■","")</f>
        <v/>
      </c>
      <c r="T41" s="67" t="str">
        <f>IF(AND(T$5&gt;=VLOOKUP($A41,WBS_계획!$A:$O,7,FALSE()),T$5&lt;=VLOOKUP($A41,WBS_계획!$A:$O,8,FALSE())),"■","")</f>
        <v/>
      </c>
      <c r="U41" s="67" t="str">
        <f>IF(AND(U$5&gt;=VLOOKUP($A41,WBS_계획!$A:$O,7,FALSE()),U$5&lt;=VLOOKUP($A41,WBS_계획!$A:$O,8,FALSE())),"■","")</f>
        <v/>
      </c>
      <c r="V41" s="67" t="str">
        <f>IF(AND(V$5&gt;=VLOOKUP($A41,WBS_계획!$A:$O,7,FALSE()),V$5&lt;=VLOOKUP($A41,WBS_계획!$A:$O,8,FALSE())),"■","")</f>
        <v>■</v>
      </c>
      <c r="W41" s="67" t="str">
        <f>IF(AND(W$5&gt;=VLOOKUP($A41,WBS_계획!$A:$O,7,FALSE()),W$5&lt;=VLOOKUP($A41,WBS_계획!$A:$O,8,FALSE())),"■","")</f>
        <v/>
      </c>
      <c r="X41" s="68" t="str">
        <f>IF(AND(X$5&gt;=VLOOKUP($A41,WBS_계획!$A:$O,7,FALSE()),X$5&lt;=VLOOKUP($A41,WBS_계획!$A:$O,8,FALSE())),"■","")</f>
        <v/>
      </c>
      <c r="Y41" s="67" t="str">
        <f>IF(AND(Y$5&gt;=VLOOKUP($A41,WBS_계획!$A:$O,7,FALSE()),Y$5&lt;=VLOOKUP($A41,WBS_계획!$A:$O,8,FALSE())),"■","")</f>
        <v/>
      </c>
      <c r="Z41" s="67" t="str">
        <f>IF(AND(Z$5&gt;=VLOOKUP($A41,WBS_계획!$A:$O,7,FALSE()),Z$5&lt;=VLOOKUP($A41,WBS_계획!$A:$O,8,FALSE())),"■","")</f>
        <v/>
      </c>
      <c r="AA41" s="67" t="str">
        <f>IF(AND(AA$5&gt;=VLOOKUP($A41,WBS_계획!$A:$O,7,FALSE()),AA$5&lt;=VLOOKUP($A41,WBS_계획!$A:$O,8,FALSE())),"■","")</f>
        <v/>
      </c>
      <c r="AB41" s="67" t="str">
        <f>IF(AND(AB$5&gt;=VLOOKUP($A41,WBS_계획!$A:$O,7,FALSE()),AB$5&lt;=VLOOKUP($A41,WBS_계획!$A:$O,8,FALSE())),"■","")</f>
        <v/>
      </c>
      <c r="AC41" s="68" t="str">
        <f>IF(AND(AC$5&gt;=VLOOKUP($A41,WBS_계획!$A:$O,7,FALSE()),AC$5&lt;=VLOOKUP($A41,WBS_계획!$A:$O,8,FALSE())),"■","")</f>
        <v/>
      </c>
    </row>
    <row r="42" spans="1:29" ht="27.95" customHeight="1">
      <c r="A42" s="18" t="s">
        <v>260</v>
      </c>
      <c r="B42" s="13" t="s">
        <v>319</v>
      </c>
      <c r="C42" s="57" t="str">
        <f>VLOOKUP($A42,WBS_계획!$A:$O,6,FALSE)</f>
        <v>김예은</v>
      </c>
      <c r="D42" s="20" t="str">
        <f>VLOOKUP($A42,WBS_계획!$A:$O,12,FALSE)</f>
        <v>완료</v>
      </c>
      <c r="E42" s="65" t="str">
        <f>IF(AND(E$5&gt;=VLOOKUP($A42,WBS_계획!$A:$O,7,FALSE()),E$5&lt;=VLOOKUP($A42,WBS_계획!$A:$O,8,FALSE())),"■","")</f>
        <v/>
      </c>
      <c r="F42" s="65" t="str">
        <f>IF(AND(F$5&gt;=VLOOKUP($A42,WBS_계획!$A:$O,7,FALSE()),F$5&lt;=VLOOKUP($A42,WBS_계획!$A:$O,8,FALSE())),"■","")</f>
        <v/>
      </c>
      <c r="G42" s="65" t="str">
        <f>IF(AND(G$5&gt;=VLOOKUP($A42,WBS_계획!$A:$O,7,FALSE()),G$5&lt;=VLOOKUP($A42,WBS_계획!$A:$O,8,FALSE())),"■","")</f>
        <v/>
      </c>
      <c r="H42" s="65" t="str">
        <f>IF(AND(H$5&gt;=VLOOKUP($A42,WBS_계획!$A:$O,7,FALSE()),H$5&lt;=VLOOKUP($A42,WBS_계획!$A:$O,8,FALSE())),"■","")</f>
        <v/>
      </c>
      <c r="I42" s="65" t="str">
        <f>IF(AND(I$5&gt;=VLOOKUP($A42,WBS_계획!$A:$O,7,FALSE()),I$5&lt;=VLOOKUP($A42,WBS_계획!$A:$O,8,FALSE())),"■","")</f>
        <v/>
      </c>
      <c r="J42" s="65" t="str">
        <f>IF(AND(J$5&gt;=VLOOKUP($A42,WBS_계획!$A:$O,7,FALSE()),J$5&lt;=VLOOKUP($A42,WBS_계획!$A:$O,8,FALSE())),"■","")</f>
        <v>■</v>
      </c>
      <c r="K42" s="65" t="str">
        <f>IF(AND(K$5&gt;=VLOOKUP($A42,WBS_계획!$A:$O,7,FALSE()),K$5&lt;=VLOOKUP($A42,WBS_계획!$A:$O,8,FALSE())),"■","")</f>
        <v>■</v>
      </c>
      <c r="L42" s="65" t="str">
        <f>IF(AND(L$5&gt;=VLOOKUP($A42,WBS_계획!$A:$O,7,FALSE()),L$5&lt;=VLOOKUP($A42,WBS_계획!$A:$O,8,FALSE())),"■","")</f>
        <v>■</v>
      </c>
      <c r="M42" s="65" t="str">
        <f>IF(AND(M$5&gt;=VLOOKUP($A42,WBS_계획!$A:$O,7,FALSE()),M$5&lt;=VLOOKUP($A42,WBS_계획!$A:$O,8,FALSE())),"■","")</f>
        <v>■</v>
      </c>
      <c r="N42" s="65" t="str">
        <f>IF(AND(N$5&gt;=VLOOKUP($A42,WBS_계획!$A:$O,7,FALSE()),N$5&lt;=VLOOKUP($A42,WBS_계획!$A:$O,8,FALSE())),"■","")</f>
        <v>■</v>
      </c>
      <c r="O42" s="65" t="str">
        <f>IF(AND(O$5&gt;=VLOOKUP($A42,WBS_계획!$A:$O,7,FALSE()),O$5&lt;=VLOOKUP($A42,WBS_계획!$A:$O,8,FALSE())),"■","")</f>
        <v>■</v>
      </c>
      <c r="P42" s="65" t="str">
        <f>IF(AND(P$5&gt;=VLOOKUP($A42,WBS_계획!$A:$O,7,FALSE()),P$5&lt;=VLOOKUP($A42,WBS_계획!$A:$O,8,FALSE())),"■","")</f>
        <v>■</v>
      </c>
      <c r="Q42" s="65" t="str">
        <f>IF(AND(Q$5&gt;=VLOOKUP($A42,WBS_계획!$A:$O,7,FALSE()),Q$5&lt;=VLOOKUP($A42,WBS_계획!$A:$O,8,FALSE())),"■","")</f>
        <v/>
      </c>
      <c r="R42" s="65" t="str">
        <f>IF(AND(R$5&gt;=VLOOKUP($A42,WBS_계획!$A:$O,7,FALSE()),R$5&lt;=VLOOKUP($A42,WBS_계획!$A:$O,8,FALSE())),"■","")</f>
        <v/>
      </c>
      <c r="S42" s="65" t="str">
        <f>IF(AND(S$5&gt;=VLOOKUP($A42,WBS_계획!$A:$O,7,FALSE()),S$5&lt;=VLOOKUP($A42,WBS_계획!$A:$O,8,FALSE())),"■","")</f>
        <v/>
      </c>
      <c r="T42" s="65" t="str">
        <f>IF(AND(T$5&gt;=VLOOKUP($A42,WBS_계획!$A:$O,7,FALSE()),T$5&lt;=VLOOKUP($A42,WBS_계획!$A:$O,8,FALSE())),"■","")</f>
        <v/>
      </c>
      <c r="U42" s="65" t="str">
        <f>IF(AND(U$5&gt;=VLOOKUP($A42,WBS_계획!$A:$O,7,FALSE()),U$5&lt;=VLOOKUP($A42,WBS_계획!$A:$O,8,FALSE())),"■","")</f>
        <v/>
      </c>
      <c r="V42" s="65" t="str">
        <f>IF(AND(V$5&gt;=VLOOKUP($A42,WBS_계획!$A:$O,7,FALSE()),V$5&lt;=VLOOKUP($A42,WBS_계획!$A:$O,8,FALSE())),"■","")</f>
        <v/>
      </c>
      <c r="W42" s="65" t="str">
        <f>IF(AND(W$5&gt;=VLOOKUP($A42,WBS_계획!$A:$O,7,FALSE()),W$5&lt;=VLOOKUP($A42,WBS_계획!$A:$O,8,FALSE())),"■","")</f>
        <v/>
      </c>
      <c r="X42" s="66" t="str">
        <f>IF(AND(X$5&gt;=VLOOKUP($A42,WBS_계획!$A:$O,7,FALSE()),X$5&lt;=VLOOKUP($A42,WBS_계획!$A:$O,8,FALSE())),"■","")</f>
        <v/>
      </c>
      <c r="Y42" s="65" t="str">
        <f>IF(AND(Y$5&gt;=VLOOKUP($A42,WBS_계획!$A:$O,7,FALSE()),Y$5&lt;=VLOOKUP($A42,WBS_계획!$A:$O,8,FALSE())),"■","")</f>
        <v/>
      </c>
      <c r="Z42" s="65" t="str">
        <f>IF(AND(Z$5&gt;=VLOOKUP($A42,WBS_계획!$A:$O,7,FALSE()),Z$5&lt;=VLOOKUP($A42,WBS_계획!$A:$O,8,FALSE())),"■","")</f>
        <v/>
      </c>
      <c r="AA42" s="65" t="str">
        <f>IF(AND(AA$5&gt;=VLOOKUP($A42,WBS_계획!$A:$O,7,FALSE()),AA$5&lt;=VLOOKUP($A42,WBS_계획!$A:$O,8,FALSE())),"■","")</f>
        <v/>
      </c>
      <c r="AB42" s="65" t="str">
        <f>IF(AND(AB$5&gt;=VLOOKUP($A42,WBS_계획!$A:$O,7,FALSE()),AB$5&lt;=VLOOKUP($A42,WBS_계획!$A:$O,8,FALSE())),"■","")</f>
        <v/>
      </c>
      <c r="AC42" s="66" t="str">
        <f>IF(AND(AC$5&gt;=VLOOKUP($A42,WBS_계획!$A:$O,7,FALSE()),AC$5&lt;=VLOOKUP($A42,WBS_계획!$A:$O,8,FALSE())),"■","")</f>
        <v/>
      </c>
    </row>
    <row r="43" spans="1:29" ht="27.95" customHeight="1">
      <c r="A43" s="18" t="s">
        <v>342</v>
      </c>
      <c r="B43" s="13" t="s">
        <v>261</v>
      </c>
      <c r="C43" s="57" t="str">
        <f>VLOOKUP($A43,WBS_계획!$A:$O,6,FALSE)</f>
        <v>김예은</v>
      </c>
      <c r="D43" s="20" t="str">
        <f>VLOOKUP($A43,WBS_계획!$A:$O,12,FALSE)</f>
        <v>완료</v>
      </c>
      <c r="E43" s="65" t="str">
        <f>IF(AND(E$5&gt;=VLOOKUP($A43,WBS_계획!$A:$O,7,FALSE()),E$5&lt;=VLOOKUP($A43,WBS_계획!$A:$O,8,FALSE())),"■","")</f>
        <v/>
      </c>
      <c r="F43" s="65" t="str">
        <f>IF(AND(F$5&gt;=VLOOKUP($A43,WBS_계획!$A:$O,7,FALSE()),F$5&lt;=VLOOKUP($A43,WBS_계획!$A:$O,8,FALSE())),"■","")</f>
        <v/>
      </c>
      <c r="G43" s="65" t="str">
        <f>IF(AND(G$5&gt;=VLOOKUP($A43,WBS_계획!$A:$O,7,FALSE()),G$5&lt;=VLOOKUP($A43,WBS_계획!$A:$O,8,FALSE())),"■","")</f>
        <v/>
      </c>
      <c r="H43" s="65" t="str">
        <f>IF(AND(H$5&gt;=VLOOKUP($A43,WBS_계획!$A:$O,7,FALSE()),H$5&lt;=VLOOKUP($A43,WBS_계획!$A:$O,8,FALSE())),"■","")</f>
        <v/>
      </c>
      <c r="I43" s="65" t="str">
        <f>IF(AND(I$5&gt;=VLOOKUP($A43,WBS_계획!$A:$O,7,FALSE()),I$5&lt;=VLOOKUP($A43,WBS_계획!$A:$O,8,FALSE())),"■","")</f>
        <v/>
      </c>
      <c r="J43" s="65" t="str">
        <f>IF(AND(J$5&gt;=VLOOKUP($A43,WBS_계획!$A:$O,7,FALSE()),J$5&lt;=VLOOKUP($A43,WBS_계획!$A:$O,8,FALSE())),"■","")</f>
        <v/>
      </c>
      <c r="K43" s="65" t="str">
        <f>IF(AND(K$5&gt;=VLOOKUP($A43,WBS_계획!$A:$O,7,FALSE()),K$5&lt;=VLOOKUP($A43,WBS_계획!$A:$O,8,FALSE())),"■","")</f>
        <v/>
      </c>
      <c r="L43" s="65" t="str">
        <f>IF(AND(L$5&gt;=VLOOKUP($A43,WBS_계획!$A:$O,7,FALSE()),L$5&lt;=VLOOKUP($A43,WBS_계획!$A:$O,8,FALSE())),"■","")</f>
        <v/>
      </c>
      <c r="M43" s="65" t="str">
        <f>IF(AND(M$5&gt;=VLOOKUP($A43,WBS_계획!$A:$O,7,FALSE()),M$5&lt;=VLOOKUP($A43,WBS_계획!$A:$O,8,FALSE())),"■","")</f>
        <v/>
      </c>
      <c r="N43" s="65" t="str">
        <f>IF(AND(N$5&gt;=VLOOKUP($A43,WBS_계획!$A:$O,7,FALSE()),N$5&lt;=VLOOKUP($A43,WBS_계획!$A:$O,8,FALSE())),"■","")</f>
        <v/>
      </c>
      <c r="O43" s="65" t="str">
        <f>IF(AND(O$5&gt;=VLOOKUP($A43,WBS_계획!$A:$O,7,FALSE()),O$5&lt;=VLOOKUP($A43,WBS_계획!$A:$O,8,FALSE())),"■","")</f>
        <v/>
      </c>
      <c r="P43" s="65" t="str">
        <f>IF(AND(P$5&gt;=VLOOKUP($A43,WBS_계획!$A:$O,7,FALSE()),P$5&lt;=VLOOKUP($A43,WBS_계획!$A:$O,8,FALSE())),"■","")</f>
        <v/>
      </c>
      <c r="Q43" s="65" t="str">
        <f>IF(AND(Q$5&gt;=VLOOKUP($A43,WBS_계획!$A:$O,7,FALSE()),Q$5&lt;=VLOOKUP($A43,WBS_계획!$A:$O,8,FALSE())),"■","")</f>
        <v/>
      </c>
      <c r="R43" s="65" t="str">
        <f>IF(AND(R$5&gt;=VLOOKUP($A43,WBS_계획!$A:$O,7,FALSE()),R$5&lt;=VLOOKUP($A43,WBS_계획!$A:$O,8,FALSE())),"■","")</f>
        <v/>
      </c>
      <c r="S43" s="65" t="str">
        <f>IF(AND(S$5&gt;=VLOOKUP($A43,WBS_계획!$A:$O,7,FALSE()),S$5&lt;=VLOOKUP($A43,WBS_계획!$A:$O,8,FALSE())),"■","")</f>
        <v/>
      </c>
      <c r="T43" s="65" t="str">
        <f>IF(AND(T$5&gt;=VLOOKUP($A43,WBS_계획!$A:$O,7,FALSE()),T$5&lt;=VLOOKUP($A43,WBS_계획!$A:$O,8,FALSE())),"■","")</f>
        <v>■</v>
      </c>
      <c r="U43" s="65" t="str">
        <f>IF(AND(U$5&gt;=VLOOKUP($A43,WBS_계획!$A:$O,7,FALSE()),U$5&lt;=VLOOKUP($A43,WBS_계획!$A:$O,8,FALSE())),"■","")</f>
        <v>■</v>
      </c>
      <c r="V43" s="65" t="str">
        <f>IF(AND(V$5&gt;=VLOOKUP($A43,WBS_계획!$A:$O,7,FALSE()),V$5&lt;=VLOOKUP($A43,WBS_계획!$A:$O,8,FALSE())),"■","")</f>
        <v/>
      </c>
      <c r="W43" s="65" t="str">
        <f>IF(AND(W$5&gt;=VLOOKUP($A43,WBS_계획!$A:$O,7,FALSE()),W$5&lt;=VLOOKUP($A43,WBS_계획!$A:$O,8,FALSE())),"■","")</f>
        <v/>
      </c>
      <c r="X43" s="66" t="str">
        <f>IF(AND(X$5&gt;=VLOOKUP($A43,WBS_계획!$A:$O,7,FALSE()),X$5&lt;=VLOOKUP($A43,WBS_계획!$A:$O,8,FALSE())),"■","")</f>
        <v/>
      </c>
      <c r="Y43" s="65" t="str">
        <f>IF(AND(Y$5&gt;=VLOOKUP($A43,WBS_계획!$A:$O,7,FALSE()),Y$5&lt;=VLOOKUP($A43,WBS_계획!$A:$O,8,FALSE())),"■","")</f>
        <v/>
      </c>
      <c r="Z43" s="65" t="str">
        <f>IF(AND(Z$5&gt;=VLOOKUP($A43,WBS_계획!$A:$O,7,FALSE()),Z$5&lt;=VLOOKUP($A43,WBS_계획!$A:$O,8,FALSE())),"■","")</f>
        <v/>
      </c>
      <c r="AA43" s="65" t="str">
        <f>IF(AND(AA$5&gt;=VLOOKUP($A43,WBS_계획!$A:$O,7,FALSE()),AA$5&lt;=VLOOKUP($A43,WBS_계획!$A:$O,8,FALSE())),"■","")</f>
        <v/>
      </c>
      <c r="AB43" s="65" t="str">
        <f>IF(AND(AB$5&gt;=VLOOKUP($A43,WBS_계획!$A:$O,7,FALSE()),AB$5&lt;=VLOOKUP($A43,WBS_계획!$A:$O,8,FALSE())),"■","")</f>
        <v/>
      </c>
      <c r="AC43" s="66" t="str">
        <f>IF(AND(AC$5&gt;=VLOOKUP($A43,WBS_계획!$A:$O,7,FALSE()),AC$5&lt;=VLOOKUP($A43,WBS_계획!$A:$O,8,FALSE())),"■","")</f>
        <v/>
      </c>
    </row>
    <row r="44" spans="1:29" ht="27.95" customHeight="1">
      <c r="A44" s="18" t="s">
        <v>362</v>
      </c>
      <c r="B44" s="13" t="s">
        <v>363</v>
      </c>
      <c r="C44" s="57" t="str">
        <f>VLOOKUP($A44,WBS_계획!$A:$O,6,FALSE)</f>
        <v>김예은</v>
      </c>
      <c r="D44" s="20" t="str">
        <f>VLOOKUP($A44,WBS_계획!$A:$O,12,FALSE)</f>
        <v>?</v>
      </c>
      <c r="E44" s="65" t="str">
        <f>IF(AND(E$5&gt;=VLOOKUP($A44,WBS_계획!$A:$O,7,FALSE()),E$5&lt;=VLOOKUP($A44,WBS_계획!$A:$O,8,FALSE())),"■","")</f>
        <v/>
      </c>
      <c r="F44" s="65" t="str">
        <f>IF(AND(F$5&gt;=VLOOKUP($A44,WBS_계획!$A:$O,7,FALSE()),F$5&lt;=VLOOKUP($A44,WBS_계획!$A:$O,8,FALSE())),"■","")</f>
        <v/>
      </c>
      <c r="G44" s="65" t="str">
        <f>IF(AND(G$5&gt;=VLOOKUP($A44,WBS_계획!$A:$O,7,FALSE()),G$5&lt;=VLOOKUP($A44,WBS_계획!$A:$O,8,FALSE())),"■","")</f>
        <v/>
      </c>
      <c r="H44" s="65" t="str">
        <f>IF(AND(H$5&gt;=VLOOKUP($A44,WBS_계획!$A:$O,7,FALSE()),H$5&lt;=VLOOKUP($A44,WBS_계획!$A:$O,8,FALSE())),"■","")</f>
        <v/>
      </c>
      <c r="I44" s="65" t="str">
        <f>IF(AND(I$5&gt;=VLOOKUP($A44,WBS_계획!$A:$O,7,FALSE()),I$5&lt;=VLOOKUP($A44,WBS_계획!$A:$O,8,FALSE())),"■","")</f>
        <v/>
      </c>
      <c r="J44" s="65" t="str">
        <f>IF(AND(J$5&gt;=VLOOKUP($A44,WBS_계획!$A:$O,7,FALSE()),J$5&lt;=VLOOKUP($A44,WBS_계획!$A:$O,8,FALSE())),"■","")</f>
        <v/>
      </c>
      <c r="K44" s="65" t="str">
        <f>IF(AND(K$5&gt;=VLOOKUP($A44,WBS_계획!$A:$O,7,FALSE()),K$5&lt;=VLOOKUP($A44,WBS_계획!$A:$O,8,FALSE())),"■","")</f>
        <v/>
      </c>
      <c r="L44" s="65" t="str">
        <f>IF(AND(L$5&gt;=VLOOKUP($A44,WBS_계획!$A:$O,7,FALSE()),L$5&lt;=VLOOKUP($A44,WBS_계획!$A:$O,8,FALSE())),"■","")</f>
        <v/>
      </c>
      <c r="M44" s="65" t="str">
        <f>IF(AND(M$5&gt;=VLOOKUP($A44,WBS_계획!$A:$O,7,FALSE()),M$5&lt;=VLOOKUP($A44,WBS_계획!$A:$O,8,FALSE())),"■","")</f>
        <v/>
      </c>
      <c r="N44" s="65" t="str">
        <f>IF(AND(N$5&gt;=VLOOKUP($A44,WBS_계획!$A:$O,7,FALSE()),N$5&lt;=VLOOKUP($A44,WBS_계획!$A:$O,8,FALSE())),"■","")</f>
        <v/>
      </c>
      <c r="O44" s="65" t="str">
        <f>IF(AND(O$5&gt;=VLOOKUP($A44,WBS_계획!$A:$O,7,FALSE()),O$5&lt;=VLOOKUP($A44,WBS_계획!$A:$O,8,FALSE())),"■","")</f>
        <v/>
      </c>
      <c r="P44" s="65" t="str">
        <f>IF(AND(P$5&gt;=VLOOKUP($A44,WBS_계획!$A:$O,7,FALSE()),P$5&lt;=VLOOKUP($A44,WBS_계획!$A:$O,8,FALSE())),"■","")</f>
        <v/>
      </c>
      <c r="Q44" s="65" t="str">
        <f>IF(AND(Q$5&gt;=VLOOKUP($A44,WBS_계획!$A:$O,7,FALSE()),Q$5&lt;=VLOOKUP($A44,WBS_계획!$A:$O,8,FALSE())),"■","")</f>
        <v/>
      </c>
      <c r="R44" s="65" t="str">
        <f>IF(AND(R$5&gt;=VLOOKUP($A44,WBS_계획!$A:$O,7,FALSE()),R$5&lt;=VLOOKUP($A44,WBS_계획!$A:$O,8,FALSE())),"■","")</f>
        <v/>
      </c>
      <c r="S44" s="65" t="str">
        <f>IF(AND(S$5&gt;=VLOOKUP($A44,WBS_계획!$A:$O,7,FALSE()),S$5&lt;=VLOOKUP($A44,WBS_계획!$A:$O,8,FALSE())),"■","")</f>
        <v/>
      </c>
      <c r="T44" s="65" t="str">
        <f>IF(AND(T$5&gt;=VLOOKUP($A44,WBS_계획!$A:$O,7,FALSE()),T$5&lt;=VLOOKUP($A44,WBS_계획!$A:$O,8,FALSE())),"■","")</f>
        <v/>
      </c>
      <c r="U44" s="65" t="str">
        <f>IF(AND(U$5&gt;=VLOOKUP($A44,WBS_계획!$A:$O,7,FALSE()),U$5&lt;=VLOOKUP($A44,WBS_계획!$A:$O,8,FALSE())),"■","")</f>
        <v/>
      </c>
      <c r="V44" s="65" t="str">
        <f>IF(AND(V$5&gt;=VLOOKUP($A44,WBS_계획!$A:$O,7,FALSE()),V$5&lt;=VLOOKUP($A44,WBS_계획!$A:$O,8,FALSE())),"■","")</f>
        <v/>
      </c>
      <c r="W44" s="65" t="str">
        <f>IF(AND(W$5&gt;=VLOOKUP($A44,WBS_계획!$A:$O,7,FALSE()),W$5&lt;=VLOOKUP($A44,WBS_계획!$A:$O,8,FALSE())),"■","")</f>
        <v/>
      </c>
      <c r="X44" s="66" t="str">
        <f>IF(AND(X$5&gt;=VLOOKUP($A44,WBS_계획!$A:$O,7,FALSE()),X$5&lt;=VLOOKUP($A44,WBS_계획!$A:$O,8,FALSE())),"■","")</f>
        <v/>
      </c>
      <c r="Y44" s="65" t="str">
        <f>IF(AND(Y$5&gt;=VLOOKUP($A44,WBS_계획!$A:$O,7,FALSE()),Y$5&lt;=VLOOKUP($A44,WBS_계획!$A:$O,8,FALSE())),"■","")</f>
        <v/>
      </c>
      <c r="Z44" s="65" t="str">
        <f>IF(AND(Z$5&gt;=VLOOKUP($A44,WBS_계획!$A:$O,7,FALSE()),Z$5&lt;=VLOOKUP($A44,WBS_계획!$A:$O,8,FALSE())),"■","")</f>
        <v/>
      </c>
      <c r="AA44" s="65" t="str">
        <f>IF(AND(AA$5&gt;=VLOOKUP($A44,WBS_계획!$A:$O,7,FALSE()),AA$5&lt;=VLOOKUP($A44,WBS_계획!$A:$O,8,FALSE())),"■","")</f>
        <v/>
      </c>
      <c r="AB44" s="65" t="str">
        <f>IF(AND(AB$5&gt;=VLOOKUP($A44,WBS_계획!$A:$O,7,FALSE()),AB$5&lt;=VLOOKUP($A44,WBS_계획!$A:$O,8,FALSE())),"■","")</f>
        <v/>
      </c>
      <c r="AC44" s="66" t="str">
        <f>IF(AND(AC$5&gt;=VLOOKUP($A44,WBS_계획!$A:$O,7,FALSE()),AC$5&lt;=VLOOKUP($A44,WBS_계획!$A:$O,8,FALSE())),"■","")</f>
        <v/>
      </c>
    </row>
    <row r="45" spans="1:29" ht="27.95" customHeight="1">
      <c r="A45" s="18" t="s">
        <v>277</v>
      </c>
      <c r="B45" s="13" t="s">
        <v>364</v>
      </c>
      <c r="C45" s="57" t="str">
        <f>VLOOKUP($A45,WBS_계획!$A:$O,6,FALSE)</f>
        <v>공동</v>
      </c>
      <c r="D45" s="20" t="str">
        <f>VLOOKUP($A45,WBS_계획!$A:$O,12,FALSE)</f>
        <v>미착수</v>
      </c>
      <c r="E45" s="65" t="str">
        <f>IF(AND(E$5&gt;=VLOOKUP($A45,WBS_계획!$A:$O,7,FALSE()),E$5&lt;=VLOOKUP($A45,WBS_계획!$A:$O,8,FALSE())),"■","")</f>
        <v/>
      </c>
      <c r="F45" s="65" t="str">
        <f>IF(AND(F$5&gt;=VLOOKUP($A45,WBS_계획!$A:$O,7,FALSE()),F$5&lt;=VLOOKUP($A45,WBS_계획!$A:$O,8,FALSE())),"■","")</f>
        <v/>
      </c>
      <c r="G45" s="65" t="str">
        <f>IF(AND(G$5&gt;=VLOOKUP($A45,WBS_계획!$A:$O,7,FALSE()),G$5&lt;=VLOOKUP($A45,WBS_계획!$A:$O,8,FALSE())),"■","")</f>
        <v/>
      </c>
      <c r="H45" s="65" t="str">
        <f>IF(AND(H$5&gt;=VLOOKUP($A45,WBS_계획!$A:$O,7,FALSE()),H$5&lt;=VLOOKUP($A45,WBS_계획!$A:$O,8,FALSE())),"■","")</f>
        <v/>
      </c>
      <c r="I45" s="65" t="str">
        <f>IF(AND(I$5&gt;=VLOOKUP($A45,WBS_계획!$A:$O,7,FALSE()),I$5&lt;=VLOOKUP($A45,WBS_계획!$A:$O,8,FALSE())),"■","")</f>
        <v/>
      </c>
      <c r="J45" s="65" t="str">
        <f>IF(AND(J$5&gt;=VLOOKUP($A45,WBS_계획!$A:$O,7,FALSE()),J$5&lt;=VLOOKUP($A45,WBS_계획!$A:$O,8,FALSE())),"■","")</f>
        <v/>
      </c>
      <c r="K45" s="65" t="str">
        <f>IF(AND(K$5&gt;=VLOOKUP($A45,WBS_계획!$A:$O,7,FALSE()),K$5&lt;=VLOOKUP($A45,WBS_계획!$A:$O,8,FALSE())),"■","")</f>
        <v/>
      </c>
      <c r="L45" s="65" t="str">
        <f>IF(AND(L$5&gt;=VLOOKUP($A45,WBS_계획!$A:$O,7,FALSE()),L$5&lt;=VLOOKUP($A45,WBS_계획!$A:$O,8,FALSE())),"■","")</f>
        <v/>
      </c>
      <c r="M45" s="65" t="str">
        <f>IF(AND(M$5&gt;=VLOOKUP($A45,WBS_계획!$A:$O,7,FALSE()),M$5&lt;=VLOOKUP($A45,WBS_계획!$A:$O,8,FALSE())),"■","")</f>
        <v/>
      </c>
      <c r="N45" s="65" t="str">
        <f>IF(AND(N$5&gt;=VLOOKUP($A45,WBS_계획!$A:$O,7,FALSE()),N$5&lt;=VLOOKUP($A45,WBS_계획!$A:$O,8,FALSE())),"■","")</f>
        <v/>
      </c>
      <c r="O45" s="65" t="str">
        <f>IF(AND(O$5&gt;=VLOOKUP($A45,WBS_계획!$A:$O,7,FALSE()),O$5&lt;=VLOOKUP($A45,WBS_계획!$A:$O,8,FALSE())),"■","")</f>
        <v/>
      </c>
      <c r="P45" s="65" t="str">
        <f>IF(AND(P$5&gt;=VLOOKUP($A45,WBS_계획!$A:$O,7,FALSE()),P$5&lt;=VLOOKUP($A45,WBS_계획!$A:$O,8,FALSE())),"■","")</f>
        <v/>
      </c>
      <c r="Q45" s="65" t="str">
        <f>IF(AND(Q$5&gt;=VLOOKUP($A45,WBS_계획!$A:$O,7,FALSE()),Q$5&lt;=VLOOKUP($A45,WBS_계획!$A:$O,8,FALSE())),"■","")</f>
        <v/>
      </c>
      <c r="R45" s="65" t="str">
        <f>IF(AND(R$5&gt;=VLOOKUP($A45,WBS_계획!$A:$O,7,FALSE()),R$5&lt;=VLOOKUP($A45,WBS_계획!$A:$O,8,FALSE())),"■","")</f>
        <v/>
      </c>
      <c r="S45" s="65" t="str">
        <f>IF(AND(S$5&gt;=VLOOKUP($A45,WBS_계획!$A:$O,7,FALSE()),S$5&lt;=VLOOKUP($A45,WBS_계획!$A:$O,8,FALSE())),"■","")</f>
        <v/>
      </c>
      <c r="T45" s="65" t="str">
        <f>IF(AND(T$5&gt;=VLOOKUP($A45,WBS_계획!$A:$O,7,FALSE()),T$5&lt;=VLOOKUP($A45,WBS_계획!$A:$O,8,FALSE())),"■","")</f>
        <v/>
      </c>
      <c r="U45" s="65" t="str">
        <f>IF(AND(U$5&gt;=VLOOKUP($A45,WBS_계획!$A:$O,7,FALSE()),U$5&lt;=VLOOKUP($A45,WBS_계획!$A:$O,8,FALSE())),"■","")</f>
        <v/>
      </c>
      <c r="V45" s="65" t="str">
        <f>IF(AND(V$5&gt;=VLOOKUP($A45,WBS_계획!$A:$O,7,FALSE()),V$5&lt;=VLOOKUP($A45,WBS_계획!$A:$O,8,FALSE())),"■","")</f>
        <v/>
      </c>
      <c r="W45" s="65" t="str">
        <f>IF(AND(W$5&gt;=VLOOKUP($A45,WBS_계획!$A:$O,7,FALSE()),W$5&lt;=VLOOKUP($A45,WBS_계획!$A:$O,8,FALSE())),"■","")</f>
        <v/>
      </c>
      <c r="X45" s="66" t="str">
        <f>IF(AND(X$5&gt;=VLOOKUP($A45,WBS_계획!$A:$O,7,FALSE()),X$5&lt;=VLOOKUP($A45,WBS_계획!$A:$O,8,FALSE())),"■","")</f>
        <v/>
      </c>
      <c r="Y45" s="65" t="str">
        <f>IF(AND(Y$5&gt;=VLOOKUP($A45,WBS_계획!$A:$O,7,FALSE()),Y$5&lt;=VLOOKUP($A45,WBS_계획!$A:$O,8,FALSE())),"■","")</f>
        <v/>
      </c>
      <c r="Z45" s="65" t="str">
        <f>IF(AND(Z$5&gt;=VLOOKUP($A45,WBS_계획!$A:$O,7,FALSE()),Z$5&lt;=VLOOKUP($A45,WBS_계획!$A:$O,8,FALSE())),"■","")</f>
        <v/>
      </c>
      <c r="AA45" s="65" t="str">
        <f>IF(AND(AA$5&gt;=VLOOKUP($A45,WBS_계획!$A:$O,7,FALSE()),AA$5&lt;=VLOOKUP($A45,WBS_계획!$A:$O,8,FALSE())),"■","")</f>
        <v/>
      </c>
      <c r="AB45" s="65" t="str">
        <f>IF(AND(AB$5&gt;=VLOOKUP($A45,WBS_계획!$A:$O,7,FALSE()),AB$5&lt;=VLOOKUP($A45,WBS_계획!$A:$O,8,FALSE())),"■","")</f>
        <v/>
      </c>
      <c r="AC45" s="66" t="str">
        <f>IF(AND(AC$5&gt;=VLOOKUP($A45,WBS_계획!$A:$O,7,FALSE()),AC$5&lt;=VLOOKUP($A45,WBS_계획!$A:$O,8,FALSE())),"■","")</f>
        <v/>
      </c>
    </row>
  </sheetData>
  <mergeCells count="10">
    <mergeCell ref="Y4:AC4"/>
    <mergeCell ref="A1:AC2"/>
    <mergeCell ref="A4:A5"/>
    <mergeCell ref="B4:B5"/>
    <mergeCell ref="C4:C5"/>
    <mergeCell ref="D4:D5"/>
    <mergeCell ref="E4:I4"/>
    <mergeCell ref="J4:N4"/>
    <mergeCell ref="O4:S4"/>
    <mergeCell ref="T4:X4"/>
  </mergeCells>
  <phoneticPr fontId="13" type="noConversion"/>
  <conditionalFormatting sqref="D6:D45">
    <cfRule type="expression" dxfId="7" priority="9">
      <formula>D6="완료"</formula>
    </cfRule>
    <cfRule type="expression" dxfId="6" priority="10">
      <formula>D6="진행중"</formula>
    </cfRule>
    <cfRule type="expression" dxfId="5" priority="11">
      <formula>D6="미착수"</formula>
    </cfRule>
  </conditionalFormatting>
  <conditionalFormatting sqref="E5:AB45">
    <cfRule type="expression" dxfId="4" priority="1">
      <formula>E$5=TODAY()</formula>
    </cfRule>
  </conditionalFormatting>
  <conditionalFormatting sqref="E6:AC45">
    <cfRule type="expression" dxfId="3" priority="2">
      <formula>AND($C6="공동",E6="■")</formula>
    </cfRule>
    <cfRule type="expression" dxfId="2" priority="3">
      <formula>AND($C6="김예은",E6="■")</formula>
    </cfRule>
    <cfRule type="expression" dxfId="1" priority="4">
      <formula>AND($C6="강유나",E6="■")</formula>
    </cfRule>
    <cfRule type="expression" dxfId="0" priority="5">
      <formula>E6="■"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1"/>
  <sheetViews>
    <sheetView workbookViewId="0">
      <selection activeCell="D24" sqref="D24"/>
    </sheetView>
  </sheetViews>
  <sheetFormatPr defaultRowHeight="14.25"/>
  <cols>
    <col min="1" max="1" width="20" customWidth="1"/>
    <col min="2" max="4" width="14" customWidth="1"/>
    <col min="5" max="14" width="12" customWidth="1"/>
  </cols>
  <sheetData>
    <row r="2" spans="1:14">
      <c r="D2" s="128" t="s">
        <v>0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1:14"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</row>
    <row r="4" spans="1:14"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</row>
    <row r="5" spans="1:14" ht="15">
      <c r="D5" s="129" t="s">
        <v>1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8" spans="1:14" ht="24" customHeight="1">
      <c r="A8" s="89" t="s">
        <v>2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</row>
    <row r="9" spans="1:14" ht="30">
      <c r="A9" s="28" t="s">
        <v>3</v>
      </c>
      <c r="B9" s="130" t="s">
        <v>4</v>
      </c>
      <c r="C9" s="130"/>
      <c r="D9" s="130"/>
      <c r="E9" s="28" t="s">
        <v>5</v>
      </c>
      <c r="F9" s="131">
        <v>46223</v>
      </c>
      <c r="G9" s="131" t="s">
        <v>6</v>
      </c>
      <c r="H9" s="131">
        <v>46248</v>
      </c>
      <c r="I9" s="132"/>
      <c r="J9" s="130"/>
      <c r="K9" s="10"/>
      <c r="L9" s="10"/>
      <c r="M9" s="10"/>
      <c r="N9" s="11"/>
    </row>
    <row r="10" spans="1:14" ht="15">
      <c r="A10" s="29" t="s">
        <v>7</v>
      </c>
      <c r="B10" s="123">
        <v>46230</v>
      </c>
      <c r="C10" s="123"/>
      <c r="D10" s="123"/>
      <c r="E10" s="29" t="s">
        <v>8</v>
      </c>
      <c r="F10" s="124" t="s">
        <v>9</v>
      </c>
      <c r="G10" s="124"/>
      <c r="H10" s="124"/>
      <c r="I10" s="29" t="s">
        <v>10</v>
      </c>
      <c r="J10" s="124" t="s">
        <v>11</v>
      </c>
      <c r="K10" s="124"/>
      <c r="L10" s="124"/>
      <c r="M10" s="124"/>
      <c r="N10" s="125"/>
    </row>
    <row r="11" spans="1:14" ht="15">
      <c r="A11" s="30" t="s">
        <v>12</v>
      </c>
      <c r="B11" s="126" t="s">
        <v>13</v>
      </c>
      <c r="C11" s="126"/>
      <c r="D11" s="126"/>
      <c r="E11" s="30" t="s">
        <v>14</v>
      </c>
      <c r="F11" s="126" t="s">
        <v>15</v>
      </c>
      <c r="G11" s="126"/>
      <c r="H11" s="126"/>
      <c r="I11" s="30" t="s">
        <v>16</v>
      </c>
      <c r="J11" s="126" t="s">
        <v>17</v>
      </c>
      <c r="K11" s="126"/>
      <c r="L11" s="126"/>
      <c r="M11" s="126"/>
      <c r="N11" s="127"/>
    </row>
    <row r="13" spans="1:14" ht="24" customHeight="1">
      <c r="A13" s="89" t="s">
        <v>18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</row>
    <row r="14" spans="1:14">
      <c r="A14" s="90" t="s">
        <v>19</v>
      </c>
      <c r="B14" s="91"/>
      <c r="C14" s="96">
        <f>COUNTA(WBS_계획!A7:A89)</f>
        <v>83</v>
      </c>
      <c r="D14" s="108"/>
      <c r="E14" s="90" t="s">
        <v>20</v>
      </c>
      <c r="F14" s="91"/>
      <c r="G14" s="96">
        <f>COUNTIF(WBS_계획!L7:L89,"완료")</f>
        <v>42</v>
      </c>
      <c r="H14" s="113"/>
      <c r="I14" s="90" t="s">
        <v>21</v>
      </c>
      <c r="J14" s="91"/>
      <c r="K14" s="96">
        <f>COUNTIF(WBS_계획!L7:L89,"진행중")</f>
        <v>4</v>
      </c>
      <c r="L14" s="118"/>
    </row>
    <row r="15" spans="1:14">
      <c r="A15" s="92"/>
      <c r="B15" s="93"/>
      <c r="C15" s="109"/>
      <c r="D15" s="110"/>
      <c r="E15" s="92"/>
      <c r="F15" s="93"/>
      <c r="G15" s="114"/>
      <c r="H15" s="115"/>
      <c r="I15" s="92"/>
      <c r="J15" s="93"/>
      <c r="K15" s="119"/>
      <c r="L15" s="120"/>
    </row>
    <row r="16" spans="1:14">
      <c r="A16" s="94"/>
      <c r="B16" s="95"/>
      <c r="C16" s="111"/>
      <c r="D16" s="112"/>
      <c r="E16" s="94"/>
      <c r="F16" s="95"/>
      <c r="G16" s="116"/>
      <c r="H16" s="117"/>
      <c r="I16" s="94"/>
      <c r="J16" s="95"/>
      <c r="K16" s="121"/>
      <c r="L16" s="122"/>
    </row>
    <row r="18" spans="1:16">
      <c r="A18" s="90" t="s">
        <v>22</v>
      </c>
      <c r="B18" s="91"/>
      <c r="C18" s="96">
        <f>COUNTIF(WBS_계획!L7:L89,"미착수")</f>
        <v>35</v>
      </c>
      <c r="D18" s="97"/>
      <c r="E18" s="90" t="s">
        <v>23</v>
      </c>
      <c r="F18" s="91"/>
      <c r="G18" s="102">
        <f>IFERROR(SUM(WBS_계획!M7:M89)/COUNTA(WBS_계획!A7:A89),0)</f>
        <v>0.54698795180722903</v>
      </c>
      <c r="H18" s="103"/>
      <c r="I18" s="90" t="s">
        <v>24</v>
      </c>
      <c r="J18" s="91"/>
      <c r="K18" s="83">
        <f>MAX(0,MAX(WBS_계획!H7:H89)-DATE(2026,7,27))</f>
        <v>24</v>
      </c>
      <c r="L18" s="84"/>
    </row>
    <row r="19" spans="1:16">
      <c r="A19" s="92"/>
      <c r="B19" s="93"/>
      <c r="C19" s="98"/>
      <c r="D19" s="99"/>
      <c r="E19" s="92"/>
      <c r="F19" s="93"/>
      <c r="G19" s="104"/>
      <c r="H19" s="105"/>
      <c r="I19" s="92"/>
      <c r="J19" s="93"/>
      <c r="K19" s="85"/>
      <c r="L19" s="86"/>
    </row>
    <row r="20" spans="1:16">
      <c r="A20" s="94"/>
      <c r="B20" s="95"/>
      <c r="C20" s="100"/>
      <c r="D20" s="101"/>
      <c r="E20" s="94"/>
      <c r="F20" s="95"/>
      <c r="G20" s="106"/>
      <c r="H20" s="107"/>
      <c r="I20" s="94"/>
      <c r="J20" s="95"/>
      <c r="K20" s="87"/>
      <c r="L20" s="88"/>
    </row>
    <row r="22" spans="1:16" ht="24" customHeight="1">
      <c r="A22" s="89" t="s">
        <v>25</v>
      </c>
      <c r="B22" s="89"/>
      <c r="C22" s="89"/>
      <c r="D22" s="89"/>
      <c r="E22" s="89"/>
      <c r="F22" s="89"/>
    </row>
    <row r="23" spans="1:16">
      <c r="A23" s="1" t="s">
        <v>26</v>
      </c>
      <c r="B23" s="6" t="s">
        <v>27</v>
      </c>
      <c r="C23" s="6" t="s">
        <v>28</v>
      </c>
      <c r="D23" s="2" t="s">
        <v>29</v>
      </c>
      <c r="P23" t="s">
        <v>30</v>
      </c>
    </row>
    <row r="24" spans="1:16">
      <c r="A24" s="3" t="s">
        <v>31</v>
      </c>
      <c r="B24" s="7">
        <f>COUNTIF(WBS_계획!B7:B89,A24)</f>
        <v>6</v>
      </c>
      <c r="C24" s="7">
        <f>COUNTIFS(WBS_계획!B7:B89,A24,WBS_계획!L7:L89,"완료")</f>
        <v>3</v>
      </c>
      <c r="D24" s="31">
        <f>IFERROR(SUMIF(WBS_계획!B7:B89,A24,WBS_계획!M7:M89)/B24,0)</f>
        <v>0.58333333333333337</v>
      </c>
      <c r="P24" s="52">
        <f t="shared" ref="P24:P31" si="0">D24*100</f>
        <v>58.333333333333336</v>
      </c>
    </row>
    <row r="25" spans="1:16">
      <c r="A25" s="4" t="s">
        <v>32</v>
      </c>
      <c r="B25" s="8">
        <f>COUNTIF(WBS_계획!B7:B89,A25)</f>
        <v>5</v>
      </c>
      <c r="C25" s="8">
        <f>COUNTIFS(WBS_계획!B7:B89,A25,WBS_계획!L7:L89,"완료")</f>
        <v>4</v>
      </c>
      <c r="D25" s="32">
        <f>IFERROR(SUMIF(WBS_계획!B7:B89,A25,WBS_계획!M7:M89)/B25,0)</f>
        <v>0.8</v>
      </c>
      <c r="P25" s="52">
        <f t="shared" si="0"/>
        <v>80</v>
      </c>
    </row>
    <row r="26" spans="1:16">
      <c r="A26" s="4" t="s">
        <v>33</v>
      </c>
      <c r="B26" s="8">
        <f>COUNTIF(WBS_계획!B7:B89,A26)</f>
        <v>13</v>
      </c>
      <c r="C26" s="8">
        <f>COUNTIFS(WBS_계획!B7:B89,A26,WBS_계획!L7:L89,"완료")</f>
        <v>13</v>
      </c>
      <c r="D26" s="32">
        <f>IFERROR(SUMIF(WBS_계획!B7:B89,A26,WBS_계획!M7:M89)/B26,0)</f>
        <v>1</v>
      </c>
      <c r="P26" s="52">
        <f t="shared" si="0"/>
        <v>100</v>
      </c>
    </row>
    <row r="27" spans="1:16">
      <c r="A27" s="4" t="s">
        <v>34</v>
      </c>
      <c r="B27" s="8">
        <f>COUNTIF(WBS_계획!B7:B89,A27)</f>
        <v>12</v>
      </c>
      <c r="C27" s="8">
        <f>COUNTIFS(WBS_계획!B7:B89,A27,WBS_계획!L7:L89,"완료")</f>
        <v>11</v>
      </c>
      <c r="D27" s="32">
        <f>IFERROR(SUMIF(WBS_계획!B7:B89,A27,WBS_계획!M7:M89)/B27,0)</f>
        <v>0.95833333333333337</v>
      </c>
      <c r="P27" s="52">
        <f t="shared" si="0"/>
        <v>95.833333333333343</v>
      </c>
    </row>
    <row r="28" spans="1:16">
      <c r="A28" s="4" t="s">
        <v>35</v>
      </c>
      <c r="B28" s="8">
        <f>COUNTIF(WBS_계획!B7:B89,A28)</f>
        <v>10</v>
      </c>
      <c r="C28" s="8">
        <f>COUNTIFS(WBS_계획!B7:B89,A28,WBS_계획!L7:L89,"완료")</f>
        <v>8</v>
      </c>
      <c r="D28" s="32">
        <f>IFERROR(SUMIF(WBS_계획!B7:B89,A28,WBS_계획!M7:M89)/B28,0)</f>
        <v>1</v>
      </c>
      <c r="P28" s="52">
        <f t="shared" si="0"/>
        <v>100</v>
      </c>
    </row>
    <row r="29" spans="1:16">
      <c r="A29" s="4" t="s">
        <v>36</v>
      </c>
      <c r="B29" s="8">
        <f>COUNTIF(WBS_계획!B7:B89,A29)</f>
        <v>9</v>
      </c>
      <c r="C29" s="8">
        <f>COUNTIFS(WBS_계획!B7:B89,A29,WBS_계획!L7:L89,"완료")</f>
        <v>1</v>
      </c>
      <c r="D29" s="32">
        <f>IFERROR(SUMIF(WBS_계획!B7:B89,A29,WBS_계획!M7:M89)/B29,0)</f>
        <v>0.1111111111111111</v>
      </c>
      <c r="P29" s="52">
        <f t="shared" si="0"/>
        <v>11.111111111111111</v>
      </c>
    </row>
    <row r="30" spans="1:16">
      <c r="A30" s="4" t="s">
        <v>37</v>
      </c>
      <c r="B30" s="8">
        <f>COUNTIF(WBS_계획!B7:B89,A30)</f>
        <v>14</v>
      </c>
      <c r="C30" s="8">
        <f>COUNTIFS(WBS_계획!B7:B89,A30,WBS_계획!L7:L89,"완료")</f>
        <v>2</v>
      </c>
      <c r="D30" s="32">
        <f>IFERROR(SUMIF(WBS_계획!B7:B89,A30,WBS_계획!M7:M89)/B30,0)</f>
        <v>0.14285714285714285</v>
      </c>
      <c r="P30" s="52">
        <f t="shared" si="0"/>
        <v>14.285714285714285</v>
      </c>
    </row>
    <row r="31" spans="1:16">
      <c r="A31" s="5" t="s">
        <v>38</v>
      </c>
      <c r="B31" s="9">
        <f>COUNTIF(WBS_계획!B7:B89,A31)</f>
        <v>14</v>
      </c>
      <c r="C31" s="9">
        <f>COUNTIFS(WBS_계획!B7:B89,A31,WBS_계획!L7:L89,"완료")</f>
        <v>0</v>
      </c>
      <c r="D31" s="33">
        <f>IFERROR(SUMIF(WBS_계획!B7:B89,A31,WBS_계획!M7:M89)/B31,0)</f>
        <v>2.8571428571428574E-2</v>
      </c>
      <c r="P31" s="52">
        <f t="shared" si="0"/>
        <v>2.8571428571428572</v>
      </c>
    </row>
  </sheetData>
  <mergeCells count="26">
    <mergeCell ref="D2:N4"/>
    <mergeCell ref="D5:N5"/>
    <mergeCell ref="A8:N8"/>
    <mergeCell ref="B9:D9"/>
    <mergeCell ref="F9:G9"/>
    <mergeCell ref="H9:J9"/>
    <mergeCell ref="B10:D10"/>
    <mergeCell ref="F10:H10"/>
    <mergeCell ref="J10:N10"/>
    <mergeCell ref="B11:D11"/>
    <mergeCell ref="F11:H11"/>
    <mergeCell ref="J11:N11"/>
    <mergeCell ref="A13:N13"/>
    <mergeCell ref="A14:B16"/>
    <mergeCell ref="C14:D16"/>
    <mergeCell ref="E14:F16"/>
    <mergeCell ref="G14:H16"/>
    <mergeCell ref="I14:J16"/>
    <mergeCell ref="K14:L16"/>
    <mergeCell ref="K18:L20"/>
    <mergeCell ref="A22:F22"/>
    <mergeCell ref="A18:B20"/>
    <mergeCell ref="C18:D20"/>
    <mergeCell ref="E18:F20"/>
    <mergeCell ref="G18:H20"/>
    <mergeCell ref="I18:J20"/>
  </mergeCells>
  <phoneticPr fontId="13" type="noConversion"/>
  <conditionalFormatting sqref="C14:D16">
    <cfRule type="dataBar" priority="2">
      <dataBar>
        <cfvo type="min"/>
        <cfvo type="max"/>
        <color rgb="FF1C75BC"/>
      </dataBar>
    </cfRule>
    <cfRule type="dataBar" priority="4">
      <dataBar>
        <cfvo type="min"/>
        <cfvo type="max"/>
        <color rgb="FF1C75BC"/>
      </dataBar>
      <extLst>
        <ext xmlns:x14="http://schemas.microsoft.com/office/spreadsheetml/2009/9/main" uri="{B025F937-C7B1-47D3-B67F-A62EFF666E3E}">
          <x14:id>{F2506671-BA80-1306-5449-27F261CB1F01}</x14:id>
        </ext>
      </extLst>
    </cfRule>
  </conditionalFormatting>
  <conditionalFormatting sqref="D24:D31">
    <cfRule type="dataBar" priority="1">
      <dataBar>
        <cfvo type="min"/>
        <cfvo type="max"/>
        <color rgb="FF1C75BC"/>
      </dataBar>
    </cfRule>
    <cfRule type="dataBar" priority="3">
      <dataBar>
        <cfvo type="min"/>
        <cfvo type="max"/>
        <color rgb="FF1C75BC"/>
      </dataBar>
      <extLst>
        <ext xmlns:x14="http://schemas.microsoft.com/office/spreadsheetml/2009/9/main" uri="{B025F937-C7B1-47D3-B67F-A62EFF666E3E}">
          <x14:id>{198E7ECE-AD41-987A-181E-4F340377771D}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506671-BA80-1306-5449-27F261CB1F01}">
            <x14:dataBar>
              <x14:cfvo type="min"/>
              <x14:cfvo type="max"/>
              <x14:negativeFillColor auto="1"/>
              <x14:axisColor auto="1"/>
            </x14:dataBar>
          </x14:cfRule>
          <xm:sqref>C14:D16</xm:sqref>
        </x14:conditionalFormatting>
        <x14:conditionalFormatting xmlns:xm="http://schemas.microsoft.com/office/excel/2006/main">
          <x14:cfRule type="dataBar" id="{198E7ECE-AD41-987A-181E-4F340377771D}">
            <x14:dataBar>
              <x14:cfvo type="min"/>
              <x14:cfvo type="max"/>
              <x14:negativeFillColor auto="1"/>
              <x14:axisColor auto="1"/>
            </x14:dataBar>
          </x14:cfRule>
          <xm:sqref>D24:D31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2"/>
    </sheetView>
  </sheetViews>
  <sheetFormatPr defaultRowHeight="14.25"/>
  <cols>
    <col min="1" max="1" width="10" customWidth="1"/>
    <col min="2" max="2" width="24" customWidth="1"/>
    <col min="3" max="8" width="30" customWidth="1"/>
  </cols>
  <sheetData>
    <row r="1" spans="1:8">
      <c r="A1" s="70" t="s">
        <v>109</v>
      </c>
      <c r="B1" s="70"/>
      <c r="C1" s="70"/>
      <c r="D1" s="70"/>
      <c r="E1" s="70"/>
      <c r="F1" s="70"/>
      <c r="G1" s="70"/>
      <c r="H1" s="70"/>
    </row>
    <row r="2" spans="1:8">
      <c r="A2" s="70"/>
      <c r="B2" s="70"/>
      <c r="C2" s="70"/>
      <c r="D2" s="70"/>
      <c r="E2" s="70"/>
      <c r="F2" s="70"/>
      <c r="G2" s="70"/>
      <c r="H2" s="70"/>
    </row>
    <row r="4" spans="1:8" ht="36" customHeight="1">
      <c r="A4" s="1" t="s">
        <v>39</v>
      </c>
      <c r="B4" s="6" t="s">
        <v>41</v>
      </c>
      <c r="C4" s="6" t="s">
        <v>110</v>
      </c>
      <c r="D4" s="6" t="s">
        <v>111</v>
      </c>
      <c r="E4" s="6" t="s">
        <v>112</v>
      </c>
      <c r="F4" s="6" t="s">
        <v>113</v>
      </c>
      <c r="G4" s="6" t="s">
        <v>51</v>
      </c>
      <c r="H4" s="2" t="s">
        <v>114</v>
      </c>
    </row>
    <row r="5" spans="1:8" ht="87.95" customHeight="1">
      <c r="A5" s="34" t="s">
        <v>55</v>
      </c>
      <c r="B5" s="35" t="s">
        <v>115</v>
      </c>
      <c r="C5" s="35" t="s">
        <v>116</v>
      </c>
      <c r="D5" s="35" t="s">
        <v>117</v>
      </c>
      <c r="E5" s="35" t="s">
        <v>118</v>
      </c>
      <c r="F5" s="35" t="s">
        <v>119</v>
      </c>
      <c r="G5" s="35" t="s">
        <v>120</v>
      </c>
      <c r="H5" s="36" t="s">
        <v>121</v>
      </c>
    </row>
    <row r="6" spans="1:8" ht="87.95" customHeight="1">
      <c r="A6" s="37" t="s">
        <v>69</v>
      </c>
      <c r="B6" s="38" t="s">
        <v>122</v>
      </c>
      <c r="C6" s="38" t="s">
        <v>123</v>
      </c>
      <c r="D6" s="38" t="s">
        <v>124</v>
      </c>
      <c r="E6" s="38" t="s">
        <v>125</v>
      </c>
      <c r="F6" s="38" t="s">
        <v>126</v>
      </c>
      <c r="G6" s="38" t="s">
        <v>127</v>
      </c>
      <c r="H6" s="39" t="s">
        <v>128</v>
      </c>
    </row>
    <row r="7" spans="1:8" ht="87.95" customHeight="1">
      <c r="A7" s="37" t="s">
        <v>74</v>
      </c>
      <c r="B7" s="38" t="s">
        <v>129</v>
      </c>
      <c r="C7" s="38" t="s">
        <v>130</v>
      </c>
      <c r="D7" s="38" t="s">
        <v>131</v>
      </c>
      <c r="E7" s="38" t="s">
        <v>132</v>
      </c>
      <c r="F7" s="38" t="s">
        <v>76</v>
      </c>
      <c r="G7" s="38" t="s">
        <v>133</v>
      </c>
      <c r="H7" s="39" t="s">
        <v>134</v>
      </c>
    </row>
    <row r="8" spans="1:8" ht="87.95" customHeight="1">
      <c r="A8" s="37" t="s">
        <v>77</v>
      </c>
      <c r="B8" s="38" t="s">
        <v>135</v>
      </c>
      <c r="C8" s="38" t="s">
        <v>136</v>
      </c>
      <c r="D8" s="38" t="s">
        <v>137</v>
      </c>
      <c r="E8" s="38" t="s">
        <v>138</v>
      </c>
      <c r="F8" s="38" t="s">
        <v>78</v>
      </c>
      <c r="G8" s="38" t="s">
        <v>139</v>
      </c>
      <c r="H8" s="39" t="s">
        <v>140</v>
      </c>
    </row>
    <row r="9" spans="1:8" ht="87.95" customHeight="1">
      <c r="A9" s="37" t="s">
        <v>86</v>
      </c>
      <c r="B9" s="38" t="s">
        <v>141</v>
      </c>
      <c r="C9" s="38" t="s">
        <v>142</v>
      </c>
      <c r="D9" s="38" t="s">
        <v>143</v>
      </c>
      <c r="E9" s="38" t="s">
        <v>144</v>
      </c>
      <c r="F9" s="38" t="s">
        <v>87</v>
      </c>
      <c r="G9" s="38" t="s">
        <v>145</v>
      </c>
      <c r="H9" s="39" t="s">
        <v>146</v>
      </c>
    </row>
    <row r="10" spans="1:8" ht="87.95" customHeight="1">
      <c r="A10" s="37" t="s">
        <v>89</v>
      </c>
      <c r="B10" s="38" t="s">
        <v>147</v>
      </c>
      <c r="C10" s="38" t="s">
        <v>148</v>
      </c>
      <c r="D10" s="38" t="s">
        <v>149</v>
      </c>
      <c r="E10" s="38" t="s">
        <v>150</v>
      </c>
      <c r="F10" s="38" t="s">
        <v>91</v>
      </c>
      <c r="G10" s="38" t="s">
        <v>151</v>
      </c>
      <c r="H10" s="39" t="s">
        <v>152</v>
      </c>
    </row>
    <row r="11" spans="1:8" ht="87.95" customHeight="1">
      <c r="A11" s="37" t="s">
        <v>92</v>
      </c>
      <c r="B11" s="38" t="s">
        <v>153</v>
      </c>
      <c r="C11" s="38" t="s">
        <v>154</v>
      </c>
      <c r="D11" s="38" t="s">
        <v>155</v>
      </c>
      <c r="E11" s="38" t="s">
        <v>156</v>
      </c>
      <c r="F11" s="38" t="s">
        <v>93</v>
      </c>
      <c r="G11" s="38" t="s">
        <v>157</v>
      </c>
      <c r="H11" s="39" t="s">
        <v>158</v>
      </c>
    </row>
    <row r="12" spans="1:8" ht="87.95" customHeight="1">
      <c r="A12" s="37" t="s">
        <v>95</v>
      </c>
      <c r="B12" s="38" t="s">
        <v>159</v>
      </c>
      <c r="C12" s="38" t="s">
        <v>160</v>
      </c>
      <c r="D12" s="38" t="s">
        <v>161</v>
      </c>
      <c r="E12" s="38" t="s">
        <v>162</v>
      </c>
      <c r="F12" s="38" t="s">
        <v>163</v>
      </c>
      <c r="G12" s="38" t="s">
        <v>164</v>
      </c>
      <c r="H12" s="39" t="s">
        <v>165</v>
      </c>
    </row>
    <row r="13" spans="1:8" ht="87.95" customHeight="1">
      <c r="A13" s="37" t="s">
        <v>96</v>
      </c>
      <c r="B13" s="38" t="s">
        <v>166</v>
      </c>
      <c r="C13" s="38" t="s">
        <v>167</v>
      </c>
      <c r="D13" s="38" t="s">
        <v>168</v>
      </c>
      <c r="E13" s="38" t="s">
        <v>169</v>
      </c>
      <c r="F13" s="38" t="s">
        <v>97</v>
      </c>
      <c r="G13" s="38" t="s">
        <v>170</v>
      </c>
      <c r="H13" s="39" t="s">
        <v>171</v>
      </c>
    </row>
    <row r="14" spans="1:8" ht="87.95" customHeight="1">
      <c r="A14" s="37" t="s">
        <v>98</v>
      </c>
      <c r="B14" s="38" t="s">
        <v>172</v>
      </c>
      <c r="C14" s="38" t="s">
        <v>173</v>
      </c>
      <c r="D14" s="38" t="s">
        <v>174</v>
      </c>
      <c r="E14" s="38" t="s">
        <v>175</v>
      </c>
      <c r="F14" s="38" t="s">
        <v>176</v>
      </c>
      <c r="G14" s="38" t="s">
        <v>177</v>
      </c>
      <c r="H14" s="39" t="s">
        <v>178</v>
      </c>
    </row>
    <row r="15" spans="1:8" ht="87.95" customHeight="1">
      <c r="A15" s="37" t="s">
        <v>99</v>
      </c>
      <c r="B15" s="38" t="s">
        <v>179</v>
      </c>
      <c r="C15" s="38" t="s">
        <v>180</v>
      </c>
      <c r="D15" s="38" t="s">
        <v>181</v>
      </c>
      <c r="E15" s="38" t="s">
        <v>182</v>
      </c>
      <c r="F15" s="38" t="s">
        <v>100</v>
      </c>
      <c r="G15" s="38" t="s">
        <v>183</v>
      </c>
      <c r="H15" s="39" t="s">
        <v>184</v>
      </c>
    </row>
    <row r="16" spans="1:8" ht="87.95" customHeight="1">
      <c r="A16" s="40" t="s">
        <v>105</v>
      </c>
      <c r="B16" s="41" t="s">
        <v>106</v>
      </c>
      <c r="C16" s="41" t="s">
        <v>185</v>
      </c>
      <c r="D16" s="41" t="s">
        <v>186</v>
      </c>
      <c r="E16" s="41" t="s">
        <v>187</v>
      </c>
      <c r="F16" s="41" t="s">
        <v>188</v>
      </c>
      <c r="G16" s="41" t="s">
        <v>189</v>
      </c>
      <c r="H16" s="42" t="s">
        <v>190</v>
      </c>
    </row>
  </sheetData>
  <mergeCells count="1">
    <mergeCell ref="A1:H2"/>
  </mergeCells>
  <phoneticPr fontId="1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sqref="A1:H2"/>
    </sheetView>
  </sheetViews>
  <sheetFormatPr defaultRowHeight="14.25"/>
  <cols>
    <col min="1" max="1" width="10" customWidth="1"/>
    <col min="2" max="2" width="23" customWidth="1"/>
    <col min="3" max="3" width="24" customWidth="1"/>
    <col min="4" max="4" width="48" customWidth="1"/>
    <col min="5" max="7" width="30" customWidth="1"/>
    <col min="8" max="8" width="16" customWidth="1"/>
  </cols>
  <sheetData>
    <row r="1" spans="1:8">
      <c r="A1" s="70" t="s">
        <v>191</v>
      </c>
      <c r="B1" s="70"/>
      <c r="C1" s="70"/>
      <c r="D1" s="70"/>
      <c r="E1" s="70"/>
      <c r="F1" s="70"/>
      <c r="G1" s="70"/>
      <c r="H1" s="70"/>
    </row>
    <row r="2" spans="1:8">
      <c r="A2" s="70"/>
      <c r="B2" s="70"/>
      <c r="C2" s="70"/>
      <c r="D2" s="70"/>
      <c r="E2" s="70"/>
      <c r="F2" s="70"/>
      <c r="G2" s="70"/>
      <c r="H2" s="70"/>
    </row>
    <row r="4" spans="1:8">
      <c r="A4" s="1" t="s">
        <v>192</v>
      </c>
      <c r="B4" s="6" t="s">
        <v>193</v>
      </c>
      <c r="C4" s="6" t="s">
        <v>194</v>
      </c>
      <c r="D4" s="6" t="s">
        <v>195</v>
      </c>
      <c r="E4" s="6" t="s">
        <v>42</v>
      </c>
      <c r="F4" s="6" t="s">
        <v>196</v>
      </c>
      <c r="G4" s="6" t="s">
        <v>197</v>
      </c>
      <c r="H4" s="2" t="s">
        <v>198</v>
      </c>
    </row>
    <row r="5" spans="1:8" ht="110.1" customHeight="1">
      <c r="A5" s="43" t="s">
        <v>199</v>
      </c>
      <c r="B5" s="53" t="s">
        <v>200</v>
      </c>
      <c r="C5" s="35" t="s">
        <v>201</v>
      </c>
      <c r="D5" s="35" t="s">
        <v>202</v>
      </c>
      <c r="E5" s="35" t="s">
        <v>203</v>
      </c>
      <c r="F5" s="35" t="s">
        <v>204</v>
      </c>
      <c r="G5" s="35" t="s">
        <v>205</v>
      </c>
      <c r="H5" s="44" t="s">
        <v>53</v>
      </c>
    </row>
    <row r="6" spans="1:8" ht="110.1" customHeight="1">
      <c r="A6" s="45" t="s">
        <v>206</v>
      </c>
      <c r="B6" s="54" t="s">
        <v>207</v>
      </c>
      <c r="C6" s="38" t="s">
        <v>208</v>
      </c>
      <c r="D6" s="38" t="s">
        <v>209</v>
      </c>
      <c r="E6" s="38" t="s">
        <v>210</v>
      </c>
      <c r="F6" s="38" t="s">
        <v>211</v>
      </c>
      <c r="G6" s="38" t="s">
        <v>212</v>
      </c>
      <c r="H6" s="46" t="s">
        <v>66</v>
      </c>
    </row>
    <row r="7" spans="1:8" ht="110.1" customHeight="1">
      <c r="A7" s="45" t="s">
        <v>213</v>
      </c>
      <c r="B7" s="54" t="s">
        <v>214</v>
      </c>
      <c r="C7" s="38" t="s">
        <v>215</v>
      </c>
      <c r="D7" s="38" t="s">
        <v>216</v>
      </c>
      <c r="E7" s="38" t="s">
        <v>217</v>
      </c>
      <c r="F7" s="38" t="s">
        <v>218</v>
      </c>
      <c r="G7" s="38" t="s">
        <v>219</v>
      </c>
      <c r="H7" s="46" t="s">
        <v>88</v>
      </c>
    </row>
    <row r="8" spans="1:8" ht="110.1" customHeight="1">
      <c r="A8" s="47" t="s">
        <v>220</v>
      </c>
      <c r="B8" s="55" t="s">
        <v>221</v>
      </c>
      <c r="C8" s="41" t="s">
        <v>222</v>
      </c>
      <c r="D8" s="41" t="s">
        <v>223</v>
      </c>
      <c r="E8" s="41" t="s">
        <v>224</v>
      </c>
      <c r="F8" s="41" t="s">
        <v>101</v>
      </c>
      <c r="G8" s="41" t="s">
        <v>225</v>
      </c>
      <c r="H8" s="48" t="s">
        <v>62</v>
      </c>
    </row>
  </sheetData>
  <mergeCells count="1">
    <mergeCell ref="A1:H2"/>
  </mergeCells>
  <phoneticPr fontId="1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1213B1-3466-4FF0-A0C1-4A7CF81BA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WBS_계획</vt:lpstr>
      <vt:lpstr>Gantt_4주</vt:lpstr>
      <vt:lpstr>WBS_요약</vt:lpstr>
      <vt:lpstr>WBS_Dictionary</vt:lpstr>
      <vt:lpstr>4주_일정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Codelab</dc:creator>
  <cp:lastModifiedBy>Codelab</cp:lastModifiedBy>
  <dcterms:created xsi:type="dcterms:W3CDTF">2026-08-06T01:53:24Z</dcterms:created>
  <dcterms:modified xsi:type="dcterms:W3CDTF">2026-08-12T07:05:59Z</dcterms:modified>
</cp:coreProperties>
</file>